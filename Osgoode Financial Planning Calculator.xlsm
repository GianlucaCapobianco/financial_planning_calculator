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filterPrivacy="1" codeName="ThisWorkbook"/>
  <xr:revisionPtr revIDLastSave="0" documentId="13_ncr:1_{6B156BF4-5772-47C6-A258-925627DC24E3}" xr6:coauthVersionLast="47" xr6:coauthVersionMax="47" xr10:uidLastSave="{00000000-0000-0000-0000-000000000000}"/>
  <workbookProtection workbookAlgorithmName="SHA-512" workbookHashValue="PPMrHAHLDlA+d8w26XV0EMbXkIo/cIIHLPuOa9WFOLbhtBt/y9esOO5Xn5l76iPEpFYuF4bqaVkbsFBhujceRw==" workbookSaltValue="sW94blus0K72vR0l0c5HjA==" workbookSpinCount="100000" lockStructure="1"/>
  <bookViews>
    <workbookView xWindow="28680" yWindow="-120" windowWidth="29040" windowHeight="15720" tabRatio="714" xr2:uid="{00000000-000D-0000-FFFF-FFFF00000000}"/>
  </bookViews>
  <sheets>
    <sheet name="Welcome Page" sheetId="6" r:id="rId1"/>
    <sheet name="Background" sheetId="1" r:id="rId2"/>
    <sheet name="Income &amp; Resources" sheetId="4" r:id="rId3"/>
    <sheet name="Expenses &amp; Debt" sheetId="3" r:id="rId4"/>
    <sheet name="Budget Summary" sheetId="10" r:id="rId5"/>
    <sheet name="Helpful Links" sheetId="15" r:id="rId6"/>
    <sheet name="Projected Budget" sheetId="13" r:id="rId7"/>
    <sheet name="Budgeting Tables" sheetId="5" r:id="rId8"/>
  </sheets>
  <definedNames>
    <definedName name="_xleta.N" hidden="1" xlm="1">#NAME?</definedName>
    <definedName name="_xleta.NA" hidden="1" xlm="1">#NAME?</definedName>
    <definedName name="_xleta.VALUE" hidden="1" xlm="1">#NAME?</definedName>
    <definedName name="_xlpm.Amounts" hidden="1" xlm="1">#NAME?</definedName>
    <definedName name="_xlpm.amts" hidden="1" xlm="1">#NAME?</definedName>
    <definedName name="_xlpm.column" hidden="1" xlm="1">#NAME?</definedName>
    <definedName name="_xlpm.dataBlock" hidden="1" xlm="1">#NAME?</definedName>
    <definedName name="_xlpm.debt" hidden="1" xlm="1">#NAME?</definedName>
    <definedName name="_xlpm.f" hidden="1" xlm="1">#NAME?</definedName>
    <definedName name="_xlpm.hdr" hidden="1" xlm="1">#NAME?</definedName>
    <definedName name="_xlpm.headerRow" hidden="1" xlm="1">#NAME?</definedName>
    <definedName name="_xlpm.housingIdx" hidden="1" xlm="1">#NAME?</definedName>
    <definedName name="_xlpm.isSurplus" hidden="1" xlm="1">#NAME?</definedName>
    <definedName name="_xlpm.Level" hidden="1" xlm="1">#NAME?</definedName>
    <definedName name="_xlpm.lumn" hidden="1" xlm="1">#NAME?</definedName>
    <definedName name="_xlpm.lvl" hidden="1" xlm="1">#NAME?</definedName>
    <definedName name="_xlpm.Maxes" hidden="1" xlm="1">#NAME?</definedName>
    <definedName name="_xlpm.Mins" hidden="1" xlm="1">#NAME?</definedName>
    <definedName name="_xlpm.mn" hidden="1" xlm="1">#NAME?</definedName>
    <definedName name="_xlpm.n" hidden="1" xlm="1">#NAME?</definedName>
    <definedName name="_xlpm.Need" hidden="1" xlm="1">#NAME?</definedName>
    <definedName name="_xlpm.olumn" hidden="1" xlm="1">#NAME?</definedName>
    <definedName name="_xlpm.rowLabels" hidden="1" xlm="1">#NAME?</definedName>
    <definedName name="_xlpm.rowNum" hidden="1" xlm="1">#NAME?</definedName>
    <definedName name="_xlpm.s" hidden="1" xlm="1">#NAME?</definedName>
    <definedName name="_xlpm.sf" hidden="1" xlm="1">#NAME?</definedName>
    <definedName name="_xlpm.shortfall" hidden="1" xlm="1">#NAME?</definedName>
    <definedName name="_xlpm.statusIdx" hidden="1" xlm="1">#NAME?</definedName>
    <definedName name="_xlpm.umn" hidden="1" xlm="1">#NAME?</definedName>
    <definedName name="_xlpm.yearN" hidden="1" xlm="1">#NAME?</definedName>
    <definedName name="_xlnm.Print_Area" localSheetId="1">Background!$B$3:$J$29</definedName>
    <definedName name="_xlnm.Print_Area" localSheetId="4">'Budget Summary'!$B$3:$J$51</definedName>
    <definedName name="_xlnm.Print_Area" localSheetId="7">'Budgeting Tables'!$B$3:$J$52</definedName>
    <definedName name="_xlnm.Print_Area" localSheetId="3">'Expenses &amp; Debt'!$B$3:$J$48</definedName>
    <definedName name="_xlnm.Print_Area" localSheetId="5">'Helpful Links'!$B$3:$J$64</definedName>
    <definedName name="_xlnm.Print_Area" localSheetId="2">'Income &amp; Resources'!$B$3:$J$48</definedName>
    <definedName name="_xlnm.Print_Area" localSheetId="6">'Projected Budget'!$B$3:$E$21</definedName>
    <definedName name="_xlnm.Print_Area" localSheetId="0">'Welcome Page'!$B$3:$J$46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3" i="13" l="1"/>
  <c r="D33" i="13" s="1"/>
  <c r="E33" i="13" s="1"/>
  <c r="C32" i="13"/>
  <c r="D32" i="13" s="1"/>
  <c r="E32" i="13" s="1"/>
  <c r="C27" i="13"/>
  <c r="D27" i="13" s="1"/>
  <c r="E27" i="13" s="1"/>
  <c r="C26" i="13"/>
  <c r="D26" i="13" s="1"/>
  <c r="E26" i="13" s="1"/>
  <c r="C25" i="13"/>
  <c r="D25" i="13" s="1"/>
  <c r="E25" i="13" s="1"/>
  <c r="C24" i="13"/>
  <c r="D24" i="13" s="1"/>
  <c r="E24" i="13" s="1"/>
  <c r="C23" i="13"/>
  <c r="D23" i="13" s="1"/>
  <c r="E23" i="13" s="1"/>
  <c r="C22" i="13"/>
  <c r="D22" i="13" s="1"/>
  <c r="E22" i="13" s="1"/>
  <c r="C21" i="13"/>
  <c r="D21" i="13" s="1"/>
  <c r="E21" i="13" s="1"/>
  <c r="C20" i="13"/>
  <c r="D20" i="13" s="1"/>
  <c r="E20" i="13" s="1"/>
  <c r="C19" i="13"/>
  <c r="D19" i="13" s="1"/>
  <c r="E19" i="13" s="1"/>
  <c r="C18" i="13"/>
  <c r="D18" i="13" s="1"/>
  <c r="E18" i="13" s="1"/>
  <c r="C17" i="13"/>
  <c r="D17" i="13" s="1"/>
  <c r="E17" i="13" s="1"/>
  <c r="C16" i="13"/>
  <c r="D16" i="13" s="1"/>
  <c r="E16" i="13" s="1"/>
  <c r="C11" i="13"/>
  <c r="D11" i="13" s="1"/>
  <c r="E11" i="13" s="1"/>
  <c r="C5" i="13"/>
  <c r="D5" i="13" s="1"/>
  <c r="E5" i="13" s="1"/>
  <c r="E10" i="13"/>
  <c r="E8" i="13"/>
  <c r="E7" i="13"/>
  <c r="E6" i="13"/>
  <c r="D10" i="13"/>
  <c r="D8" i="13"/>
  <c r="D7" i="13"/>
  <c r="D6" i="13"/>
  <c r="C10" i="13"/>
  <c r="C9" i="13"/>
  <c r="D9" i="13" s="1"/>
  <c r="E9" i="13" s="1"/>
  <c r="C8" i="13"/>
  <c r="C7" i="13"/>
  <c r="C6" i="13"/>
  <c r="E34" i="13" l="1"/>
  <c r="D34" i="13"/>
  <c r="F33" i="13"/>
  <c r="C12" i="4"/>
  <c r="C6" i="10" s="1"/>
  <c r="E49" i="5"/>
  <c r="D49" i="5"/>
  <c r="C49" i="5"/>
  <c r="E33" i="5"/>
  <c r="D33" i="5"/>
  <c r="C33" i="5"/>
  <c r="E17" i="5"/>
  <c r="D17" i="5"/>
  <c r="C17" i="5"/>
  <c r="C19" i="3"/>
  <c r="C20" i="3"/>
  <c r="F32" i="13" l="1"/>
  <c r="F34" i="13" s="1"/>
  <c r="C12" i="13"/>
  <c r="C38" i="13" s="1"/>
  <c r="C28" i="13"/>
  <c r="C39" i="13" s="1"/>
  <c r="D17" i="3"/>
  <c r="D18" i="3"/>
  <c r="D15" i="3" a="1"/>
  <c r="D15" i="3" s="1"/>
  <c r="D16" i="3" a="1"/>
  <c r="D16" i="3" s="1"/>
  <c r="D14" i="3" a="1"/>
  <c r="D14" i="3" s="1"/>
  <c r="D13" i="3" a="1"/>
  <c r="D13" i="3" s="1"/>
  <c r="D12" i="3" a="1"/>
  <c r="D12" i="3" s="1"/>
  <c r="D11" i="3" a="1"/>
  <c r="D11" i="3" s="1"/>
  <c r="D10" i="3" a="1"/>
  <c r="D10" i="3" s="1"/>
  <c r="D9" i="3" a="1"/>
  <c r="D9" i="3" s="1"/>
  <c r="D8" i="3" a="1"/>
  <c r="D8" i="3" s="1"/>
  <c r="D7" i="3" a="1"/>
  <c r="D7" i="3" s="1"/>
  <c r="D6" i="3" a="1"/>
  <c r="D6" i="3" s="1"/>
  <c r="D5" i="3" a="1"/>
  <c r="D5" i="3" s="1"/>
  <c r="D28" i="13" l="1"/>
  <c r="D39" i="13" s="1"/>
  <c r="C41" i="13"/>
  <c r="D12" i="13"/>
  <c r="D19" i="3"/>
  <c r="D20" i="3"/>
  <c r="C8" i="10"/>
  <c r="C7" i="10"/>
  <c r="C9" i="10" s="1"/>
  <c r="C13" i="10"/>
  <c r="E16" i="10" l="1"/>
  <c r="E28" i="13"/>
  <c r="E39" i="13" s="1"/>
  <c r="F39" i="13" s="1"/>
  <c r="E40" i="13"/>
  <c r="F40" i="13" s="1"/>
  <c r="D38" i="13"/>
  <c r="F28" i="13" l="1"/>
  <c r="D41" i="13"/>
  <c r="C12" i="10"/>
  <c r="C14" i="10" l="1"/>
  <c r="C34" i="13"/>
  <c r="E12" i="13"/>
  <c r="C40" i="13" l="1"/>
  <c r="C42" i="13" s="1"/>
  <c r="C43" i="13" s="1"/>
  <c r="C44" i="13" s="1"/>
  <c r="D40" i="13"/>
  <c r="D42" i="13" s="1"/>
  <c r="D43" i="13" s="1"/>
  <c r="D44" i="13" s="1"/>
  <c r="E38" i="13"/>
  <c r="F12" i="13"/>
  <c r="E41" i="13" l="1"/>
  <c r="E42" i="13" s="1"/>
  <c r="F38" i="13"/>
  <c r="F41" i="13" l="1"/>
  <c r="E43" i="13" l="1"/>
  <c r="F42" i="13"/>
  <c r="E44" i="13" l="1"/>
  <c r="F43" i="13"/>
  <c r="F44" i="1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<sst xmlns="http://schemas.openxmlformats.org/spreadsheetml/2006/main" count="277" uniqueCount="143">
  <si>
    <t>Transportation</t>
  </si>
  <si>
    <t>Food</t>
  </si>
  <si>
    <t>Osgoode Estimated Expenses For The Year</t>
  </si>
  <si>
    <t>Basic Expenses - Single, Domestic Student</t>
  </si>
  <si>
    <t>Expense Type</t>
  </si>
  <si>
    <t xml:space="preserve">Total </t>
  </si>
  <si>
    <t>On Campus (Osgoode Chambers)</t>
  </si>
  <si>
    <t>Off Campus</t>
  </si>
  <si>
    <t>At Home with Family</t>
  </si>
  <si>
    <t>Tuition</t>
  </si>
  <si>
    <t>Ancillary Fees</t>
  </si>
  <si>
    <t>Books and Supplies</t>
  </si>
  <si>
    <t>Rent (including utilities)</t>
  </si>
  <si>
    <t>Phone</t>
  </si>
  <si>
    <t>Basic Cable</t>
  </si>
  <si>
    <t>Internet</t>
  </si>
  <si>
    <t>Health and Dental</t>
  </si>
  <si>
    <t>Other Costs</t>
  </si>
  <si>
    <t>Basic Expenses - Single, Out of Province Student</t>
  </si>
  <si>
    <t>N/A</t>
  </si>
  <si>
    <t>Basic Expenses - Single, International Student</t>
  </si>
  <si>
    <t>UHIP</t>
  </si>
  <si>
    <t xml:space="preserve">Plan Your Education at Osgoode with Confidence </t>
  </si>
  <si>
    <t>How It Works:</t>
  </si>
  <si>
    <r>
      <t xml:space="preserve">     3. Expenses:</t>
    </r>
    <r>
      <rPr>
        <sz val="14"/>
        <color theme="1"/>
        <rFont val="Arial Nova"/>
        <family val="2"/>
        <scheme val="minor"/>
      </rPr>
      <t xml:space="preserve"> Enter your estimated costs (tuition, housing, food, transportation, etc.).</t>
    </r>
  </si>
  <si>
    <r>
      <t xml:space="preserve">     4. Budget Summary:</t>
    </r>
    <r>
      <rPr>
        <sz val="14"/>
        <color theme="1"/>
        <rFont val="Arial Nova"/>
        <family val="2"/>
        <scheme val="minor"/>
      </rPr>
      <t xml:space="preserve"> Review your total income, total expenses, and budget difference.</t>
    </r>
  </si>
  <si>
    <r>
      <t xml:space="preserve">     2. Income:</t>
    </r>
    <r>
      <rPr>
        <sz val="14"/>
        <color theme="1"/>
        <rFont val="Arial Nova"/>
        <family val="2"/>
        <scheme val="minor"/>
      </rPr>
      <t xml:space="preserve"> Enter all sources of income (employment, government funding, scholarships, etc.).</t>
    </r>
  </si>
  <si>
    <t xml:space="preserve">  Features:</t>
  </si>
  <si>
    <t xml:space="preserve">       Editable fields highlighted in yellow.</t>
  </si>
  <si>
    <t xml:space="preserve">       Protected formulas to prevent accidental changes.</t>
  </si>
  <si>
    <t>Background Information</t>
  </si>
  <si>
    <t>Student Status:</t>
  </si>
  <si>
    <t>1L</t>
  </si>
  <si>
    <t>2L</t>
  </si>
  <si>
    <t>3L</t>
  </si>
  <si>
    <t>International</t>
  </si>
  <si>
    <t>Housing Situation:</t>
  </si>
  <si>
    <t>Domestic (Ontario)</t>
  </si>
  <si>
    <t>Out of Province</t>
  </si>
  <si>
    <t>Residence (Osgoode Chambers)</t>
  </si>
  <si>
    <t>Off-Campus</t>
  </si>
  <si>
    <t>At Home</t>
  </si>
  <si>
    <t>Government Financial Assistance:</t>
  </si>
  <si>
    <r>
      <t xml:space="preserve">Estimated </t>
    </r>
    <r>
      <rPr>
        <b/>
        <u/>
        <sz val="14"/>
        <color theme="1"/>
        <rFont val="Arial Nova"/>
        <family val="2"/>
        <scheme val="minor"/>
      </rPr>
      <t>Monthly</t>
    </r>
    <r>
      <rPr>
        <b/>
        <sz val="14"/>
        <color theme="1"/>
        <rFont val="Arial Nova"/>
        <family val="2"/>
        <scheme val="minor"/>
      </rPr>
      <t xml:space="preserve"> Employment Income:</t>
    </r>
  </si>
  <si>
    <t>Contribution From Parents, Relatives, or Friends:</t>
  </si>
  <si>
    <t>Scholarships and Awards:</t>
  </si>
  <si>
    <t>Investments Available:</t>
  </si>
  <si>
    <t>Other Income or Resources:</t>
  </si>
  <si>
    <t>Please use the above highlighted cells to input your income/resource information. Try to be as accurate as possible since these values will be used for your surplus/shortfall calculation.</t>
  </si>
  <si>
    <t>Your Estimates</t>
  </si>
  <si>
    <t>Osgoode's Estimates</t>
  </si>
  <si>
    <t>Osgoode JD Budget Planner</t>
  </si>
  <si>
    <r>
      <rPr>
        <b/>
        <u/>
        <sz val="14"/>
        <color theme="1"/>
        <rFont val="Arial Nova"/>
        <family val="2"/>
        <scheme val="minor"/>
      </rPr>
      <t>Upcoming</t>
    </r>
    <r>
      <rPr>
        <b/>
        <sz val="14"/>
        <color theme="1"/>
        <rFont val="Arial Nova"/>
        <family val="2"/>
        <scheme val="minor"/>
      </rPr>
      <t xml:space="preserve"> Study Level:</t>
    </r>
  </si>
  <si>
    <t>Expenses &amp; Debt Information</t>
  </si>
  <si>
    <t>Income &amp; Resource Information</t>
  </si>
  <si>
    <t>Expense/Debt Type</t>
  </si>
  <si>
    <t>Government Loan Debt</t>
  </si>
  <si>
    <t>Student Line of Credit Debt</t>
  </si>
  <si>
    <t>Total Debt</t>
  </si>
  <si>
    <t>Total Expenses</t>
  </si>
  <si>
    <t>Welcome to the Osgoode Hall Law School JD Budget Planner!</t>
  </si>
  <si>
    <t>SLOC Used</t>
  </si>
  <si>
    <t>Total Income and Resources Available:</t>
  </si>
  <si>
    <t>Student's Estimated Income:</t>
  </si>
  <si>
    <t>Student's Estimated Expenses:</t>
  </si>
  <si>
    <t>Student's Estimated Debt:</t>
  </si>
  <si>
    <t>Outstanding Gov Debt</t>
  </si>
  <si>
    <t>Bursary Amount</t>
  </si>
  <si>
    <t>Min</t>
  </si>
  <si>
    <t>Max</t>
  </si>
  <si>
    <t>Income and Bursary:</t>
  </si>
  <si>
    <t xml:space="preserve">Please use the above highlighted cells to input your expense and debt information. Try to be as accurate as possible since these values will be used for your surplus/shortfall calculation. We have provided our estimates based off your background information inputs. </t>
  </si>
  <si>
    <t>Shortfall (values in -$)</t>
  </si>
  <si>
    <t>Calculated Surplus/Shortfall:</t>
  </si>
  <si>
    <t>Numbers For Graph</t>
  </si>
  <si>
    <t>Numbers for Bursary Calculation</t>
  </si>
  <si>
    <t>Included in "Student's Estimated Income" is your estimated bursary for the year, which is:</t>
  </si>
  <si>
    <t>Projected Budget Calculations</t>
  </si>
  <si>
    <t>1L Projections</t>
  </si>
  <si>
    <t>2L Projections</t>
  </si>
  <si>
    <t>3L Projections</t>
  </si>
  <si>
    <t>Monthly Employment Income</t>
  </si>
  <si>
    <t>Investments Available</t>
  </si>
  <si>
    <t>Contribution From Parents, Relatives, or Friends</t>
  </si>
  <si>
    <t>Government Financial Assistance</t>
  </si>
  <si>
    <t>Scholarships and Awards</t>
  </si>
  <si>
    <t>Other Income or Resources</t>
  </si>
  <si>
    <t>Avg % Increase</t>
  </si>
  <si>
    <t>Estimated Cash Savings Available:</t>
  </si>
  <si>
    <t>Cash Savings Available</t>
  </si>
  <si>
    <t>Total Income and Resources</t>
  </si>
  <si>
    <t>Estimated Bursary Amount</t>
  </si>
  <si>
    <t>Totals Type</t>
  </si>
  <si>
    <t>Total Income/Resources/Bursaries</t>
  </si>
  <si>
    <t>Totals</t>
  </si>
  <si>
    <t>The bursary amount is calculated based off of your shortfall and debt levels. Funding can vary.</t>
  </si>
  <si>
    <t>Income/Resource Type</t>
  </si>
  <si>
    <t>Budget Summary/Overview</t>
  </si>
  <si>
    <t>Please note that if you inputted 3L, your program and current year budgets will be the same.</t>
  </si>
  <si>
    <t>To see a full breakdown of this estimated program budget, visit the "Projected Budget" tab.</t>
  </si>
  <si>
    <t>Helpful Links Available</t>
  </si>
  <si>
    <t>Bursaries</t>
  </si>
  <si>
    <t>Contact Us</t>
  </si>
  <si>
    <t>Tuition, Fees and Key Dates</t>
  </si>
  <si>
    <t xml:space="preserve">  Projected Budget Calculations (Income &amp; Resources)</t>
  </si>
  <si>
    <t xml:space="preserve">  Projected Budget Calculations (Totals)</t>
  </si>
  <si>
    <t>Stay on top of your financial obligations by reviewing tuition costs, payment deadlines, and important academic dates. This section helps you plan ahead and avoid late fees.</t>
  </si>
  <si>
    <t>Learn about bursaries designed to support students with financial need. These funds can help cover tuition, books, and living costs.</t>
  </si>
  <si>
    <t xml:space="preserve">Government Funding </t>
  </si>
  <si>
    <t>Discover government programs such as student loans and grants that can assist with your education costs. Understand how to apply and manage repayments.</t>
  </si>
  <si>
    <t>Get details on housing options, residence fees, and payment schedules. Planning your accommodation early can help you budget effectively.</t>
  </si>
  <si>
    <t>External Awards</t>
  </si>
  <si>
    <t>Have questions or need personalized advice? Reach out to our financial aid team for guidance and support.</t>
  </si>
  <si>
    <t>YFS Health and Dental Insurance</t>
  </si>
  <si>
    <t xml:space="preserve">Information on student health plans and dental coverage. Learn how to opt-out of the insurance plans if you already have sufficient coverage. </t>
  </si>
  <si>
    <t>Student Employment</t>
  </si>
  <si>
    <t>Information on part-time jobs, work-study programs, and career services to help students earn income while studying.</t>
  </si>
  <si>
    <t>Explore opportunities to reduce your educational expenses with scholarships and awards based on financial need or academic merit. Check eligibility requirements and application deadlines.</t>
  </si>
  <si>
    <t>Search for additional scholarships and awards offered by external organizations. Expand your funding opportunities beyond the institution. You will need a Passport York account to access.</t>
  </si>
  <si>
    <t>Please use the above dropdowns to select your background information. This will auto-generate estimated expenses based off your responses.</t>
  </si>
  <si>
    <t>Student Line of Credit</t>
  </si>
  <si>
    <t>Access flexible borrowing options through a student line of credit to help cover education-related expenses such as tuition, books, and living costs.</t>
  </si>
  <si>
    <t>Housing</t>
  </si>
  <si>
    <t xml:space="preserve">  Useful Links To Help With Budgeting/Finances </t>
  </si>
  <si>
    <t>Enter Value</t>
  </si>
  <si>
    <r>
      <t xml:space="preserve">     1. Background:</t>
    </r>
    <r>
      <rPr>
        <sz val="14"/>
        <color theme="1"/>
        <rFont val="Arial Nova"/>
        <family val="2"/>
        <scheme val="minor"/>
      </rPr>
      <t xml:space="preserve"> Provide basic details about your situation.</t>
    </r>
  </si>
  <si>
    <r>
      <t xml:space="preserve">     5. Helpful Links:</t>
    </r>
    <r>
      <rPr>
        <sz val="14"/>
        <color theme="1"/>
        <rFont val="Arial Nova"/>
        <family val="2"/>
        <scheme val="minor"/>
      </rPr>
      <t xml:space="preserve"> Access links that are useful for your financial budgeting/planning. </t>
    </r>
  </si>
  <si>
    <t xml:space="preserve">       Automatic calculations for totals and differences.</t>
  </si>
  <si>
    <t xml:space="preserve">       Visual charts comparing income vs expenses.</t>
  </si>
  <si>
    <t xml:space="preserve">  Projected Budget Calculations (Expenses)</t>
  </si>
  <si>
    <t xml:space="preserve">  Projected Budget Calculations (Debt)</t>
  </si>
  <si>
    <t>Avg $ Increase</t>
  </si>
  <si>
    <t>Debt Type</t>
  </si>
  <si>
    <r>
      <t xml:space="preserve">     6. Budget Tables:</t>
    </r>
    <r>
      <rPr>
        <sz val="14"/>
        <color theme="1"/>
        <rFont val="Arial Nova"/>
        <family val="2"/>
        <scheme val="minor"/>
      </rPr>
      <t xml:space="preserve"> Access the two tabs to see breakdowns of values used in calculations.</t>
    </r>
  </si>
  <si>
    <r>
      <t xml:space="preserve">To ensure all features work correctly, please </t>
    </r>
    <r>
      <rPr>
        <u/>
        <sz val="14"/>
        <color theme="1"/>
        <rFont val="Arial Nova"/>
        <family val="2"/>
        <scheme val="minor"/>
      </rPr>
      <t>enable macros</t>
    </r>
    <r>
      <rPr>
        <sz val="14"/>
        <color theme="1"/>
        <rFont val="Arial Nova"/>
        <family val="2"/>
        <scheme val="minor"/>
      </rPr>
      <t xml:space="preserve"> for this Excel file.</t>
    </r>
  </si>
  <si>
    <t>Background Information: September 2026 - April 2027</t>
  </si>
  <si>
    <t>Income &amp; Resource Information: September 2026 - April 2027</t>
  </si>
  <si>
    <t>Expenses &amp; Debt Tailored To Your Situation - September 2026 - April 2027</t>
  </si>
  <si>
    <t>Your Budget Overview From September 2026 - April 2027</t>
  </si>
  <si>
    <r>
      <rPr>
        <b/>
        <sz val="14"/>
        <color theme="1"/>
        <rFont val="Arial Nova"/>
        <family val="2"/>
        <scheme val="minor"/>
      </rPr>
      <t xml:space="preserve">Note: </t>
    </r>
    <r>
      <rPr>
        <sz val="14"/>
        <color theme="1"/>
        <rFont val="Arial Nova"/>
        <family val="2"/>
        <scheme val="minor"/>
      </rPr>
      <t xml:space="preserve">This budget planner is for </t>
    </r>
    <r>
      <rPr>
        <b/>
        <sz val="14"/>
        <color theme="1"/>
        <rFont val="Arial Nova"/>
        <family val="2"/>
        <scheme val="minor"/>
      </rPr>
      <t>estimation purposes only</t>
    </r>
    <r>
      <rPr>
        <sz val="14"/>
        <color theme="1"/>
        <rFont val="Arial Nova"/>
        <family val="2"/>
        <scheme val="minor"/>
      </rPr>
      <t xml:space="preserve">. The numbers shown are </t>
    </r>
    <r>
      <rPr>
        <b/>
        <sz val="14"/>
        <color theme="1"/>
        <rFont val="Arial Nova"/>
        <family val="2"/>
        <scheme val="minor"/>
      </rPr>
      <t>not guaranteed</t>
    </r>
    <r>
      <rPr>
        <sz val="14"/>
        <color theme="1"/>
        <rFont val="Arial Nova"/>
        <family val="2"/>
        <scheme val="minor"/>
      </rPr>
      <t xml:space="preserve"> and may differ from your actual costs or funding. Please use this tool as a guide, not as official financial information.</t>
    </r>
  </si>
  <si>
    <t xml:space="preserve">This tool is designed to help you estimate your financial situation for the academic year. By entering your expected income and expenses, you will see whether you have a surplus or shortfall of funds, and get a clear picture of your budget. All values inputted and listed should be in CAD $. </t>
  </si>
  <si>
    <t>Final Surplus/Shortfall</t>
  </si>
  <si>
    <t>Surplus/Shortfall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</si>
</sst>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&quot;$&quot;#,##0_);[Red]\(&quot;$&quot;#,##0\)"/>
    <numFmt numFmtId="165" formatCode="&quot;$&quot;#,##0"/>
    <numFmt numFmtId="166" formatCode="&quot;$&quot;#,##0.00_);[Red]\(&quot;$&quot;#,##0.00\)"/>
    <numFmt numFmtId="167" formatCode="&quot;$&quot;#,##0.00"/>
  </numFmts>
  <fonts count="21" x14ac:knownFonts="1">
    <font>
      <sz val="11"/>
      <color theme="1"/>
      <name val="Arial Nova"/>
      <family val="2"/>
      <scheme val="minor"/>
    </font>
    <font>
      <sz val="12"/>
      <color theme="1"/>
      <name val="Arial Nova"/>
      <family val="2"/>
      <scheme val="minor"/>
    </font>
    <font>
      <sz val="16"/>
      <color theme="1"/>
      <name val="Daytona Condensed"/>
      <family val="2"/>
      <scheme val="major"/>
    </font>
    <font>
      <sz val="18"/>
      <color theme="1"/>
      <name val="Daytona Condensed"/>
      <family val="2"/>
      <scheme val="major"/>
    </font>
    <font>
      <b/>
      <sz val="12"/>
      <color theme="1"/>
      <name val="Arial Nova"/>
      <family val="2"/>
      <scheme val="minor"/>
    </font>
    <font>
      <sz val="18"/>
      <color theme="0"/>
      <name val="Daytona Condensed"/>
      <family val="2"/>
      <scheme val="major"/>
    </font>
    <font>
      <sz val="20"/>
      <color theme="4" tint="-0.499984740745262"/>
      <name val="Daytona Condensed"/>
      <family val="2"/>
      <scheme val="major"/>
    </font>
    <font>
      <sz val="14"/>
      <color theme="1" tint="0.34998626667073579"/>
      <name val="Arial Nova"/>
      <family val="2"/>
    </font>
    <font>
      <b/>
      <sz val="14"/>
      <color theme="9" tint="-0.499984740745262"/>
      <name val="Arial Nova"/>
      <family val="2"/>
    </font>
    <font>
      <sz val="20"/>
      <color theme="0"/>
      <name val="Daytona Condensed"/>
      <family val="2"/>
    </font>
    <font>
      <b/>
      <sz val="14"/>
      <color theme="1" tint="0.34998626667073579"/>
      <name val="Arial Nova"/>
      <family val="2"/>
    </font>
    <font>
      <sz val="50"/>
      <color theme="0"/>
      <name val="Daytona Condensed"/>
      <family val="2"/>
    </font>
    <font>
      <b/>
      <sz val="14"/>
      <color theme="1"/>
      <name val="Arial Nova"/>
      <family val="2"/>
      <scheme val="minor"/>
    </font>
    <font>
      <sz val="14"/>
      <color theme="1"/>
      <name val="Arial Nova"/>
      <family val="2"/>
      <scheme val="minor"/>
    </font>
    <font>
      <b/>
      <u/>
      <sz val="14"/>
      <color theme="1"/>
      <name val="Arial Nova"/>
      <family val="2"/>
      <scheme val="minor"/>
    </font>
    <font>
      <sz val="14"/>
      <name val="Arial Nova"/>
      <family val="2"/>
      <scheme val="minor"/>
    </font>
    <font>
      <b/>
      <sz val="18"/>
      <color theme="1"/>
      <name val="Daytona Condensed"/>
      <family val="2"/>
      <scheme val="major"/>
    </font>
    <font>
      <sz val="11"/>
      <color theme="1"/>
      <name val="Arial Nova"/>
      <family val="2"/>
      <scheme val="minor"/>
    </font>
    <font>
      <sz val="14"/>
      <color rgb="FF595959"/>
      <name val="Arial Nova"/>
      <family val="2"/>
    </font>
    <font>
      <b/>
      <sz val="14"/>
      <color rgb="FF595959"/>
      <name val="Arial Nova"/>
      <family val="2"/>
    </font>
    <font>
      <u/>
      <sz val="14"/>
      <color theme="1"/>
      <name val="Arial Nova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31837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20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/>
      <top style="double">
        <color theme="9"/>
      </top>
      <bottom/>
      <diagonal/>
    </border>
    <border>
      <left/>
      <right/>
      <top style="thin">
        <color theme="2"/>
      </top>
      <bottom style="thin">
        <color theme="2"/>
      </bottom>
      <diagonal/>
    </border>
    <border>
      <left/>
      <right/>
      <top style="thin">
        <color theme="2"/>
      </top>
      <bottom style="double">
        <color theme="2"/>
      </bottom>
      <diagonal/>
    </border>
    <border>
      <left/>
      <right/>
      <top style="thin">
        <color theme="6"/>
      </top>
      <bottom/>
      <diagonal/>
    </border>
    <border>
      <left/>
      <right/>
      <top/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/>
      <right/>
      <top style="double">
        <color theme="9"/>
      </top>
      <bottom style="thin">
        <color theme="6"/>
      </bottom>
      <diagonal/>
    </border>
    <border>
      <left style="thin">
        <color theme="6"/>
      </left>
      <right/>
      <top style="thin">
        <color theme="9" tint="0.39997558519241921"/>
      </top>
      <bottom/>
      <diagonal/>
    </border>
    <border>
      <left style="thin">
        <color theme="6"/>
      </left>
      <right/>
      <top style="double">
        <color theme="9"/>
      </top>
      <bottom/>
      <diagonal/>
    </border>
    <border>
      <left style="thin">
        <color theme="6"/>
      </left>
      <right/>
      <top/>
      <bottom/>
      <diagonal/>
    </border>
    <border>
      <left style="thin">
        <color theme="6"/>
      </left>
      <right style="thin">
        <color theme="6"/>
      </right>
      <top style="thin">
        <color theme="9" tint="0.39997558519241921"/>
      </top>
      <bottom style="double">
        <color theme="6"/>
      </bottom>
      <diagonal/>
    </border>
    <border>
      <left/>
      <right style="thin">
        <color theme="6"/>
      </right>
      <top style="thin">
        <color theme="9" tint="0.39997558519241921"/>
      </top>
      <bottom style="double">
        <color theme="6"/>
      </bottom>
      <diagonal/>
    </border>
    <border>
      <left style="thin">
        <color theme="6"/>
      </left>
      <right/>
      <top style="thin">
        <color theme="6"/>
      </top>
      <bottom style="double">
        <color theme="6"/>
      </bottom>
      <diagonal/>
    </border>
    <border>
      <left style="thin">
        <color theme="6"/>
      </left>
      <right/>
      <top/>
      <bottom style="thin">
        <color theme="6"/>
      </bottom>
      <diagonal/>
    </border>
    <border>
      <left/>
      <right style="thin">
        <color theme="6"/>
      </right>
      <top/>
      <bottom/>
      <diagonal/>
    </border>
    <border>
      <left style="thin">
        <color theme="6"/>
      </left>
      <right style="thin">
        <color theme="6"/>
      </right>
      <top/>
      <bottom/>
      <diagonal/>
    </border>
    <border>
      <left/>
      <right style="thin">
        <color theme="6"/>
      </right>
      <top/>
      <bottom style="thin">
        <color theme="6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</borders>
  <cellStyleXfs count="2">
    <xf numFmtId="0" fontId="0" fillId="0" borderId="0"/>
    <xf numFmtId="9" fontId="17" fillId="0" borderId="0" applyFont="0" applyFill="0" applyBorder="0" applyAlignment="0" applyProtection="0"/>
  </cellStyleXfs>
  <cellXfs count="104">
    <xf numFmtId="0" fontId="0" fillId="0" borderId="0" xfId="0"/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165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5" fillId="0" borderId="0" xfId="0" applyFont="1" applyAlignment="1">
      <alignment vertical="center"/>
    </xf>
    <xf numFmtId="164" fontId="4" fillId="0" borderId="0" xfId="0" applyNumberFormat="1" applyFont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165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left" vertical="center" indent="1"/>
    </xf>
    <xf numFmtId="0" fontId="7" fillId="0" borderId="1" xfId="0" applyFont="1" applyBorder="1" applyAlignment="1">
      <alignment horizontal="left" vertical="center" indent="1"/>
    </xf>
    <xf numFmtId="164" fontId="7" fillId="0" borderId="1" xfId="0" applyNumberFormat="1" applyFont="1" applyBorder="1" applyAlignment="1">
      <alignment horizontal="center" vertical="center"/>
    </xf>
    <xf numFmtId="0" fontId="10" fillId="0" borderId="2" xfId="0" applyFont="1" applyBorder="1" applyAlignment="1">
      <alignment horizontal="left" vertical="center" indent="1"/>
    </xf>
    <xf numFmtId="166" fontId="7" fillId="0" borderId="1" xfId="0" applyNumberFormat="1" applyFont="1" applyBorder="1" applyAlignment="1">
      <alignment horizontal="center" vertical="center"/>
    </xf>
    <xf numFmtId="166" fontId="10" fillId="0" borderId="2" xfId="0" applyNumberFormat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horizontal="left" vertical="center" indent="1"/>
    </xf>
    <xf numFmtId="0" fontId="13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165" fontId="1" fillId="0" borderId="0" xfId="0" applyNumberFormat="1" applyFont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165" fontId="1" fillId="2" borderId="0" xfId="0" applyNumberFormat="1" applyFont="1" applyFill="1" applyAlignment="1">
      <alignment horizontal="center" vertical="center"/>
    </xf>
    <xf numFmtId="0" fontId="1" fillId="0" borderId="0" xfId="0" applyFont="1" applyAlignment="1" applyProtection="1">
      <alignment horizontal="center" vertical="center"/>
      <protection locked="0"/>
    </xf>
    <xf numFmtId="0" fontId="12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left" vertical="center" indent="1"/>
    </xf>
    <xf numFmtId="167" fontId="1" fillId="0" borderId="0" xfId="0" applyNumberFormat="1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165" fontId="12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right" vertical="center"/>
    </xf>
    <xf numFmtId="167" fontId="1" fillId="0" borderId="0" xfId="0" applyNumberFormat="1" applyFont="1" applyAlignment="1">
      <alignment horizontal="left" vertical="center"/>
    </xf>
    <xf numFmtId="167" fontId="1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right" vertical="center"/>
    </xf>
    <xf numFmtId="0" fontId="16" fillId="2" borderId="0" xfId="0" applyFont="1" applyFill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167" fontId="4" fillId="0" borderId="0" xfId="0" applyNumberFormat="1" applyFont="1" applyAlignment="1">
      <alignment horizontal="left" vertical="center"/>
    </xf>
    <xf numFmtId="167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7" fontId="15" fillId="4" borderId="0" xfId="0" applyNumberFormat="1" applyFont="1" applyFill="1" applyAlignment="1" applyProtection="1">
      <alignment horizontal="center" vertical="center"/>
      <protection locked="0"/>
    </xf>
    <xf numFmtId="165" fontId="15" fillId="4" borderId="3" xfId="0" applyNumberFormat="1" applyFont="1" applyFill="1" applyBorder="1" applyAlignment="1" applyProtection="1">
      <alignment horizontal="center" vertical="center"/>
      <protection locked="0"/>
    </xf>
    <xf numFmtId="165" fontId="15" fillId="4" borderId="4" xfId="0" applyNumberFormat="1" applyFont="1" applyFill="1" applyBorder="1" applyAlignment="1" applyProtection="1">
      <alignment horizontal="center" vertical="center"/>
      <protection locked="0"/>
    </xf>
    <xf numFmtId="165" fontId="8" fillId="0" borderId="6" xfId="0" applyNumberFormat="1" applyFont="1" applyBorder="1" applyAlignment="1">
      <alignment horizontal="center" vertical="center"/>
    </xf>
    <xf numFmtId="10" fontId="18" fillId="0" borderId="5" xfId="1" applyNumberFormat="1" applyFont="1" applyFill="1" applyBorder="1" applyAlignment="1">
      <alignment horizontal="right" vertical="center"/>
    </xf>
    <xf numFmtId="10" fontId="18" fillId="0" borderId="0" xfId="1" applyNumberFormat="1" applyFont="1" applyFill="1" applyBorder="1" applyAlignment="1">
      <alignment horizontal="right" vertical="center"/>
    </xf>
    <xf numFmtId="165" fontId="19" fillId="0" borderId="0" xfId="0" applyNumberFormat="1" applyFont="1" applyAlignment="1">
      <alignment horizontal="right" vertical="center"/>
    </xf>
    <xf numFmtId="0" fontId="10" fillId="0" borderId="0" xfId="0" applyFont="1" applyAlignment="1">
      <alignment horizontal="left" vertical="center" indent="1"/>
    </xf>
    <xf numFmtId="166" fontId="10" fillId="0" borderId="0" xfId="0" applyNumberFormat="1" applyFont="1" applyAlignment="1">
      <alignment horizontal="right" vertical="center"/>
    </xf>
    <xf numFmtId="0" fontId="7" fillId="5" borderId="1" xfId="0" applyFont="1" applyFill="1" applyBorder="1" applyAlignment="1">
      <alignment horizontal="left" vertical="center" indent="1"/>
    </xf>
    <xf numFmtId="165" fontId="8" fillId="0" borderId="11" xfId="0" applyNumberFormat="1" applyFont="1" applyBorder="1" applyAlignment="1">
      <alignment horizontal="center" vertical="center"/>
    </xf>
    <xf numFmtId="0" fontId="10" fillId="5" borderId="2" xfId="0" applyFont="1" applyFill="1" applyBorder="1" applyAlignment="1">
      <alignment horizontal="left" vertical="center" indent="1"/>
    </xf>
    <xf numFmtId="165" fontId="8" fillId="0" borderId="7" xfId="0" applyNumberFormat="1" applyFont="1" applyBorder="1" applyAlignment="1">
      <alignment horizontal="center" vertical="center"/>
    </xf>
    <xf numFmtId="167" fontId="19" fillId="0" borderId="2" xfId="0" applyNumberFormat="1" applyFont="1" applyBorder="1" applyAlignment="1">
      <alignment horizontal="right" vertical="center"/>
    </xf>
    <xf numFmtId="167" fontId="19" fillId="0" borderId="8" xfId="0" applyNumberFormat="1" applyFont="1" applyBorder="1" applyAlignment="1">
      <alignment horizontal="right" vertical="center"/>
    </xf>
    <xf numFmtId="167" fontId="19" fillId="0" borderId="0" xfId="0" applyNumberFormat="1" applyFont="1" applyAlignment="1">
      <alignment horizontal="right" vertical="center"/>
    </xf>
    <xf numFmtId="167" fontId="7" fillId="0" borderId="1" xfId="0" applyNumberFormat="1" applyFont="1" applyBorder="1" applyAlignment="1">
      <alignment horizontal="right" vertical="center"/>
    </xf>
    <xf numFmtId="167" fontId="10" fillId="0" borderId="2" xfId="0" applyNumberFormat="1" applyFont="1" applyBorder="1" applyAlignment="1">
      <alignment horizontal="right" vertical="center"/>
    </xf>
    <xf numFmtId="167" fontId="7" fillId="5" borderId="9" xfId="0" applyNumberFormat="1" applyFont="1" applyFill="1" applyBorder="1" applyAlignment="1">
      <alignment horizontal="right" vertical="center"/>
    </xf>
    <xf numFmtId="167" fontId="7" fillId="0" borderId="9" xfId="0" applyNumberFormat="1" applyFont="1" applyBorder="1" applyAlignment="1">
      <alignment horizontal="right" vertical="center"/>
    </xf>
    <xf numFmtId="167" fontId="10" fillId="5" borderId="10" xfId="0" applyNumberFormat="1" applyFont="1" applyFill="1" applyBorder="1" applyAlignment="1">
      <alignment horizontal="right" vertical="center"/>
    </xf>
    <xf numFmtId="167" fontId="10" fillId="5" borderId="7" xfId="0" applyNumberFormat="1" applyFont="1" applyFill="1" applyBorder="1" applyAlignment="1">
      <alignment horizontal="right" vertical="center"/>
    </xf>
    <xf numFmtId="167" fontId="10" fillId="0" borderId="7" xfId="0" applyNumberFormat="1" applyFont="1" applyBorder="1" applyAlignment="1">
      <alignment horizontal="right" vertical="center"/>
    </xf>
    <xf numFmtId="165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left" vertical="top" wrapText="1"/>
    </xf>
    <xf numFmtId="10" fontId="7" fillId="0" borderId="0" xfId="1" applyNumberFormat="1" applyFont="1" applyFill="1" applyBorder="1" applyAlignment="1">
      <alignment horizontal="right" vertical="center"/>
    </xf>
    <xf numFmtId="167" fontId="10" fillId="0" borderId="0" xfId="0" applyNumberFormat="1" applyFont="1" applyAlignment="1">
      <alignment horizontal="right" vertical="center"/>
    </xf>
    <xf numFmtId="167" fontId="7" fillId="0" borderId="12" xfId="0" applyNumberFormat="1" applyFont="1" applyBorder="1" applyAlignment="1">
      <alignment horizontal="right" vertical="center"/>
    </xf>
    <xf numFmtId="0" fontId="7" fillId="0" borderId="13" xfId="0" applyFont="1" applyBorder="1" applyAlignment="1">
      <alignment horizontal="left" vertical="center" indent="1"/>
    </xf>
    <xf numFmtId="165" fontId="8" fillId="0" borderId="15" xfId="0" applyNumberFormat="1" applyFont="1" applyBorder="1" applyAlignment="1">
      <alignment horizontal="center" vertical="center"/>
    </xf>
    <xf numFmtId="0" fontId="10" fillId="0" borderId="16" xfId="0" applyFont="1" applyBorder="1" applyAlignment="1">
      <alignment horizontal="left" vertical="center" indent="1"/>
    </xf>
    <xf numFmtId="167" fontId="10" fillId="0" borderId="17" xfId="0" applyNumberFormat="1" applyFont="1" applyBorder="1" applyAlignment="1">
      <alignment horizontal="right" vertical="center"/>
    </xf>
    <xf numFmtId="167" fontId="18" fillId="0" borderId="14" xfId="1" applyNumberFormat="1" applyFont="1" applyBorder="1" applyAlignment="1">
      <alignment horizontal="right" vertical="center"/>
    </xf>
    <xf numFmtId="2" fontId="1" fillId="0" borderId="0" xfId="0" applyNumberFormat="1" applyFont="1" applyAlignment="1">
      <alignment vertical="center"/>
    </xf>
    <xf numFmtId="167" fontId="18" fillId="5" borderId="15" xfId="1" applyNumberFormat="1" applyFont="1" applyFill="1" applyBorder="1" applyAlignment="1">
      <alignment horizontal="right" vertical="center"/>
    </xf>
    <xf numFmtId="0" fontId="7" fillId="5" borderId="18" xfId="0" applyFont="1" applyFill="1" applyBorder="1" applyAlignment="1">
      <alignment horizontal="left" vertical="center" indent="1"/>
    </xf>
    <xf numFmtId="167" fontId="7" fillId="5" borderId="19" xfId="0" applyNumberFormat="1" applyFont="1" applyFill="1" applyBorder="1" applyAlignment="1">
      <alignment horizontal="right" vertical="center"/>
    </xf>
    <xf numFmtId="165" fontId="8" fillId="0" borderId="18" xfId="0" applyNumberFormat="1" applyFont="1" applyBorder="1" applyAlignment="1">
      <alignment horizontal="left" vertical="center" indent="1"/>
    </xf>
    <xf numFmtId="165" fontId="8" fillId="0" borderId="19" xfId="0" applyNumberFormat="1" applyFont="1" applyBorder="1" applyAlignment="1">
      <alignment horizontal="center" vertical="center"/>
    </xf>
    <xf numFmtId="167" fontId="10" fillId="0" borderId="2" xfId="0" applyNumberFormat="1" applyFont="1" applyBorder="1" applyAlignment="1">
      <alignment horizontal="center" vertical="center"/>
    </xf>
    <xf numFmtId="167" fontId="10" fillId="0" borderId="1" xfId="0" applyNumberFormat="1" applyFont="1" applyBorder="1" applyAlignment="1">
      <alignment horizontal="center" vertical="center"/>
    </xf>
    <xf numFmtId="0" fontId="3" fillId="0" borderId="0" xfId="0" applyFont="1" applyAlignment="1" applyProtection="1">
      <alignment vertical="center"/>
      <protection locked="0"/>
    </xf>
    <xf numFmtId="0" fontId="12" fillId="0" borderId="0" xfId="0" applyFont="1" applyAlignment="1">
      <alignment vertical="center"/>
    </xf>
    <xf numFmtId="0" fontId="13" fillId="0" borderId="0" xfId="0" applyFont="1" applyAlignment="1">
      <alignment horizontal="left" vertical="center" wrapText="1"/>
    </xf>
    <xf numFmtId="0" fontId="12" fillId="0" borderId="0" xfId="0" applyFont="1"/>
    <xf numFmtId="0" fontId="13" fillId="0" borderId="0" xfId="0" applyFont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13" fillId="0" borderId="0" xfId="0" applyFont="1" applyAlignment="1">
      <alignment vertical="center" wrapText="1"/>
    </xf>
    <xf numFmtId="0" fontId="9" fillId="3" borderId="0" xfId="0" applyFont="1" applyFill="1" applyAlignment="1">
      <alignment horizontal="left" vertical="center" indent="1"/>
    </xf>
    <xf numFmtId="0" fontId="12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top" wrapText="1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167" fontId="1" fillId="0" borderId="0" xfId="0" applyNumberFormat="1" applyFont="1" applyAlignment="1">
      <alignment horizontal="left" vertical="center"/>
    </xf>
    <xf numFmtId="165" fontId="1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left" vertical="top" wrapText="1"/>
    </xf>
    <xf numFmtId="0" fontId="9" fillId="3" borderId="0" xfId="0" applyFont="1" applyFill="1" applyAlignment="1">
      <alignment horizontal="left" vertical="center"/>
    </xf>
    <xf numFmtId="0" fontId="4" fillId="0" borderId="0" xfId="0" applyFont="1" applyAlignment="1">
      <alignment horizontal="center"/>
    </xf>
  </cellXfs>
  <cellStyles count="2">
    <cellStyle name="Normal" xfId="0" builtinId="0"/>
    <cellStyle name="Percent" xfId="1" builtinId="5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numFmt numFmtId="164" formatCode="&quot;$&quot;#,##0_);[Red]\(&quot;$&quot;#,##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numFmt numFmtId="164" formatCode="&quot;$&quot;#,##0_);[Red]\(&quot;$&quot;#,##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numFmt numFmtId="164" formatCode="&quot;$&quot;#,##0_);[Red]\(&quot;$&quot;#,##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fill>
        <patternFill patternType="solid">
          <fgColor indexed="64"/>
          <bgColor theme="6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numFmt numFmtId="165" formatCode="&quot;$&quot;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499984740745262"/>
        <name val="Arial Nova"/>
        <family val="2"/>
        <scheme val="none"/>
      </font>
      <numFmt numFmtId="165" formatCode="&quot;$&quot;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numFmt numFmtId="164" formatCode="&quot;$&quot;#,##0_);[Red]\(&quot;$&quot;#,##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numFmt numFmtId="164" formatCode="&quot;$&quot;#,##0_);[Red]\(&quot;$&quot;#,##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numFmt numFmtId="164" formatCode="&quot;$&quot;#,##0_);[Red]\(&quot;$&quot;#,##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fill>
        <patternFill patternType="solid">
          <fgColor indexed="64"/>
          <bgColor theme="6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numFmt numFmtId="165" formatCode="&quot;$&quot;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499984740745262"/>
        <name val="Arial Nova"/>
        <family val="2"/>
        <scheme val="none"/>
      </font>
      <numFmt numFmtId="165" formatCode="&quot;$&quot;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numFmt numFmtId="164" formatCode="&quot;$&quot;#,##0_);[Red]\(&quot;$&quot;#,##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numFmt numFmtId="164" formatCode="&quot;$&quot;#,##0_);[Red]\(&quot;$&quot;#,##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numFmt numFmtId="164" formatCode="&quot;$&quot;#,##0_);[Red]\(&quot;$&quot;#,##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fill>
        <patternFill patternType="solid">
          <fgColor indexed="64"/>
          <bgColor theme="6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numFmt numFmtId="165" formatCode="&quot;$&quot;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499984740745262"/>
        <name val="Arial Nova"/>
        <family val="2"/>
        <scheme val="none"/>
      </font>
      <numFmt numFmtId="165" formatCode="&quot;$&quot;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F7E4E1"/>
        </left>
        <right style="thin">
          <color rgb="FFF7E4E1"/>
        </right>
        <top style="thin">
          <color rgb="FFF7E4E1"/>
        </top>
        <bottom style="thin">
          <color rgb="FFF7E4E1"/>
        </bottom>
      </border>
    </dxf>
    <dxf>
      <border>
        <bottom style="thin">
          <color theme="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499984740745262"/>
        <name val="Arial Nova"/>
        <family val="2"/>
        <scheme val="none"/>
      </font>
      <numFmt numFmtId="165" formatCode="&quot;$&quot;#,##0"/>
      <alignment horizontal="center" vertical="center" textRotation="0" wrapText="0" indent="0" justifyLastLine="0" shrinkToFit="0" readingOrder="0"/>
      <border diagonalUp="0" diagonalDown="0" outline="0">
        <left style="thin">
          <color theme="6"/>
        </left>
        <right style="thin">
          <color theme="6"/>
        </right>
        <top/>
        <bottom/>
      </border>
    </dxf>
    <dxf>
      <font>
        <b/>
      </font>
      <numFmt numFmtId="167" formatCode="&quot;$&quot;#,##0.00"/>
      <border diagonalUp="0" diagonalDown="0" outline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</border>
    </dxf>
    <dxf>
      <numFmt numFmtId="167" formatCode="&quot;$&quot;#,##0.00"/>
    </dxf>
    <dxf>
      <numFmt numFmtId="167" formatCode="&quot;$&quot;#,##0.00"/>
      <border outline="0">
        <right style="thin">
          <color theme="6"/>
        </right>
      </border>
    </dxf>
    <dxf>
      <numFmt numFmtId="167" formatCode="&quot;$&quot;#,##0.00"/>
      <border outline="0">
        <right style="thin">
          <color theme="6"/>
        </right>
      </border>
    </dxf>
    <dxf>
      <border outline="0">
        <right style="thin">
          <color theme="6"/>
        </right>
      </border>
    </dxf>
    <dxf>
      <border outline="0">
        <left style="thin">
          <color rgb="FFF7E4E1"/>
        </left>
        <top style="thin">
          <color rgb="FFF7E4E1"/>
        </top>
        <bottom style="thin">
          <color rgb="FFF7E4E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499984740745262"/>
        <name val="Arial Nova"/>
        <family val="2"/>
        <scheme val="none"/>
      </font>
      <numFmt numFmtId="165" formatCode="&quot;$&quot;#,##0"/>
      <alignment horizontal="center" vertical="center" textRotation="0" wrapText="0" indent="0" justifyLastLine="0" shrinkToFit="0" readingOrder="0"/>
      <border diagonalUp="0" diagonalDown="0" outline="0">
        <left style="thin">
          <color theme="6"/>
        </left>
        <right style="thin">
          <color theme="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595959"/>
        <name val="Arial Nova"/>
        <family val="2"/>
        <scheme val="none"/>
      </font>
      <numFmt numFmtId="165" formatCode="&quot;$&quot;#,##0"/>
      <fill>
        <patternFill patternType="none">
          <fgColor rgb="FF000000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numFmt numFmtId="166" formatCode="&quot;$&quot;#,##0.00_);[Red]\(&quot;$&quot;#,##0.00\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numFmt numFmtId="166" formatCode="&quot;$&quot;#,##0.00_);[Red]\(&quot;$&quot;#,##0.00\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numFmt numFmtId="166" formatCode="&quot;$&quot;#,##0.00_);[Red]\(&quot;$&quot;#,##0.00\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fill>
        <patternFill patternType="solid">
          <fgColor indexed="64"/>
          <bgColor theme="6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border outline="0">
        <left style="thin">
          <color rgb="FFF7E4E1"/>
        </left>
        <right style="thin">
          <color rgb="FFF7E4E1"/>
        </right>
        <top style="thin">
          <color rgb="FFF7E4E1"/>
        </top>
        <bottom style="thin">
          <color rgb="FFF7E4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595959"/>
        <name val="Arial Nova"/>
        <family val="2"/>
        <scheme val="none"/>
      </font>
      <numFmt numFmtId="165" formatCode="&quot;$&quot;#,##0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499984740745262"/>
        <name val="Arial Nova"/>
        <family val="2"/>
        <scheme val="none"/>
      </font>
      <numFmt numFmtId="165" formatCode="&quot;$&quot;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595959"/>
        <name val="Arial Nova"/>
        <family val="2"/>
        <scheme val="none"/>
      </font>
      <numFmt numFmtId="165" formatCode="&quot;$&quot;#,##0"/>
      <fill>
        <patternFill patternType="none">
          <fgColor rgb="FF000000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numFmt numFmtId="166" formatCode="&quot;$&quot;#,##0.00_);[Red]\(&quot;$&quot;#,##0.00\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numFmt numFmtId="166" formatCode="&quot;$&quot;#,##0.00_);[Red]\(&quot;$&quot;#,##0.00\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numFmt numFmtId="166" formatCode="&quot;$&quot;#,##0.00_);[Red]\(&quot;$&quot;#,##0.00\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fill>
        <patternFill patternType="solid">
          <fgColor indexed="64"/>
          <bgColor theme="6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border outline="0">
        <left style="thin">
          <color rgb="FFF7E4E1"/>
        </left>
        <right style="thin">
          <color rgb="FFF7E4E1"/>
        </right>
        <top style="thin">
          <color rgb="FFF7E4E1"/>
        </top>
        <bottom style="thin">
          <color rgb="FFF7E4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595959"/>
        <name val="Arial Nova"/>
        <family val="2"/>
        <scheme val="none"/>
      </font>
      <numFmt numFmtId="165" formatCode="&quot;$&quot;#,##0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499984740745262"/>
        <name val="Arial Nova"/>
        <family val="2"/>
        <scheme val="none"/>
      </font>
      <numFmt numFmtId="165" formatCode="&quot;$&quot;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numFmt numFmtId="164" formatCode="&quot;$&quot;#,##0_);[Red]\(&quot;$&quot;#,##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numFmt numFmtId="164" formatCode="&quot;$&quot;#,##0_);[Red]\(&quot;$&quot;#,##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fill>
        <patternFill patternType="solid">
          <fgColor indexed="64"/>
          <bgColor theme="6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Arial Nova"/>
        <family val="2"/>
        <scheme val="none"/>
      </font>
      <numFmt numFmtId="165" formatCode="&quot;$&quot;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499984740745262"/>
        <name val="Arial Nova"/>
        <family val="2"/>
        <scheme val="none"/>
      </font>
      <numFmt numFmtId="165" formatCode="&quot;$&quot;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/>
        <color theme="2" tint="-9.985656300546282E-2"/>
      </font>
      <fill>
        <patternFill patternType="solid">
          <bgColor rgb="FFFFFF99"/>
        </patternFill>
      </fill>
    </dxf>
    <dxf>
      <fill>
        <patternFill>
          <bgColor rgb="FFFFFF99"/>
        </patternFill>
      </fill>
    </dxf>
    <dxf>
      <font>
        <b val="0"/>
        <i/>
        <color theme="2" tint="-9.985656300546282E-2"/>
      </font>
      <fill>
        <patternFill patternType="solid"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9"/>
        </patternFill>
      </fill>
    </dxf>
    <dxf>
      <fill>
        <patternFill>
          <bgColor theme="3"/>
        </patternFill>
      </fill>
    </dxf>
    <dxf>
      <border>
        <bottom style="thin">
          <color auto="1"/>
        </bottom>
      </border>
    </dxf>
    <dxf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 tint="-0.499984740745262"/>
        </patternFill>
      </fill>
    </dxf>
    <dxf>
      <border>
        <bottom style="thin">
          <color theme="4" tint="-0.499984740745262"/>
        </bottom>
      </border>
    </dxf>
    <dxf>
      <fill>
        <patternFill>
          <bgColor theme="9"/>
        </patternFill>
      </fill>
    </dxf>
    <dxf>
      <fill>
        <patternFill>
          <bgColor theme="3"/>
        </patternFill>
      </fill>
    </dxf>
    <dxf>
      <fill>
        <patternFill>
          <bgColor theme="2"/>
        </patternFill>
      </fill>
    </dxf>
    <dxf>
      <fill>
        <patternFill>
          <bgColor theme="6"/>
        </patternFill>
      </fill>
    </dxf>
  </dxfs>
  <tableStyles count="8" defaultTableStyle="TableStyleMedium2" defaultPivotStyle="PivotStyleLight16">
    <tableStyle name="PivotTable Style 1" table="0" count="2" xr9:uid="{93B284FB-60F5-7942-8792-3E29A6152821}">
      <tableStyleElement type="headerRow" dxfId="98"/>
      <tableStyleElement type="firstRowStripe" dxfId="97"/>
    </tableStyle>
    <tableStyle name="PivotTable Style 2" table="0" count="2" xr9:uid="{00505122-71B1-FC48-AE80-ACDDCF2B3667}">
      <tableStyleElement type="headerRow" dxfId="96"/>
      <tableStyleElement type="firstRowStripe" dxfId="95"/>
    </tableStyle>
    <tableStyle name="Table Style 1" pivot="0" count="3" xr9:uid="{1987A21F-B924-46B0-B706-159E55F2A64A}">
      <tableStyleElement type="wholeTable" dxfId="94"/>
      <tableStyleElement type="headerRow" dxfId="93"/>
      <tableStyleElement type="firstRowStripe" dxfId="92"/>
    </tableStyle>
    <tableStyle name="Table Style 2" pivot="0" count="2" xr9:uid="{916A64B7-1FAF-1E49-A469-8C130D290363}">
      <tableStyleElement type="headerRow" dxfId="91"/>
      <tableStyleElement type="firstRowStripe" dxfId="90"/>
    </tableStyle>
    <tableStyle name="Table Style 3" pivot="0" count="3" xr9:uid="{C22840AB-54AD-B846-880B-8685FD66FA9C}">
      <tableStyleElement type="headerRow" dxfId="89"/>
      <tableStyleElement type="totalRow" dxfId="88"/>
      <tableStyleElement type="firstRowStripe" dxfId="87"/>
    </tableStyle>
    <tableStyle name="Table Style 4" pivot="0" count="3" xr9:uid="{8F4DF0B0-51FF-9D4A-8488-4941CE212092}">
      <tableStyleElement type="headerRow" dxfId="86"/>
      <tableStyleElement type="totalRow" dxfId="85"/>
      <tableStyleElement type="firstRowStripe" dxfId="84"/>
    </tableStyle>
    <tableStyle name="Table Style 5" pivot="0" count="1" xr9:uid="{6BE49B79-057E-4749-90BB-FF49C93CE87F}">
      <tableStyleElement type="wholeTable" dxfId="83"/>
    </tableStyle>
    <tableStyle name="vacation" pivot="0" count="2" xr9:uid="{E6C30260-886E-DB47-87DD-D76B43A37DAC}">
      <tableStyleElement type="headerRow" dxfId="82"/>
      <tableStyleElement type="firstRowStripe" dxfId="81"/>
    </tableStyle>
  </tableStyles>
  <colors>
    <mruColors>
      <color rgb="FFE31837"/>
      <color rgb="FFFFFF99"/>
      <color rgb="FFFDFA90"/>
      <color rgb="FFF5F50B"/>
      <color rgb="FFFFEB00"/>
      <color rgb="FFEEEE9B"/>
      <color rgb="FFEAF676"/>
      <color rgb="FFF7FD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Expense &amp; Debt Estimate Comparisons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Student's Estimated Expenses</c:v>
          </c:tx>
          <c:spPr>
            <a:gradFill flip="none" rotWithShape="1">
              <a:gsLst>
                <a:gs pos="0">
                  <a:schemeClr val="accent1">
                    <a:lumMod val="67000"/>
                  </a:schemeClr>
                </a:gs>
                <a:gs pos="90000">
                  <a:schemeClr val="accent1">
                    <a:lumMod val="97000"/>
                    <a:lumOff val="3000"/>
                  </a:schemeClr>
                </a:gs>
                <a:gs pos="100000">
                  <a:schemeClr val="accent1">
                    <a:lumMod val="60000"/>
                    <a:lumOff val="4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/>
            <a:sp3d/>
          </c:spPr>
          <c:invertIfNegative val="0"/>
          <c:dPt>
            <c:idx val="0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0-EFEE-4C6E-96DF-56D1BC09EA64}"/>
              </c:ext>
            </c:extLst>
          </c:dPt>
          <c:dLbls>
            <c:dLbl>
              <c:idx val="0"/>
              <c:layout>
                <c:manualLayout>
                  <c:x val="1.7969449389186958E-3"/>
                  <c:y val="4.81622306717362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FEE-4C6E-96DF-56D1BC09EA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'Expenses &amp; Debt'!$C$19</c:f>
              <c:numCache>
                <c:formatCode>"$"#,##0.00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8A-4D5E-91BA-BAB975E3D5CB}"/>
            </c:ext>
          </c:extLst>
        </c:ser>
        <c:ser>
          <c:idx val="2"/>
          <c:order val="1"/>
          <c:tx>
            <c:v>Osgoode's Estimated Expenses</c:v>
          </c:tx>
          <c:spPr>
            <a:gradFill flip="none" rotWithShape="1">
              <a:gsLst>
                <a:gs pos="0">
                  <a:schemeClr val="accent3">
                    <a:lumMod val="67000"/>
                  </a:schemeClr>
                </a:gs>
                <a:gs pos="90000">
                  <a:schemeClr val="accent3">
                    <a:lumMod val="97000"/>
                    <a:lumOff val="3000"/>
                  </a:schemeClr>
                </a:gs>
                <a:gs pos="100000">
                  <a:schemeClr val="accent3">
                    <a:lumMod val="60000"/>
                    <a:lumOff val="4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/>
            <a:sp3d/>
          </c:spPr>
          <c:invertIfNegative val="1"/>
          <c:dLbls>
            <c:dLbl>
              <c:idx val="0"/>
              <c:layout>
                <c:manualLayout>
                  <c:x val="3.5938898778373916E-3"/>
                  <c:y val="4.81622306717363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A8A-4D5E-91BA-BAB975E3D5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'Expenses &amp; Debt'!$D$19</c:f>
              <c:numCache>
                <c:formatCode>"$"#,##0.00</c:formatCode>
                <c:ptCount val="1"/>
                <c:pt idx="0">
                  <c:v>49612.610000000008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8A-4D5E-91BA-BAB975E3D5CB}"/>
            </c:ext>
          </c:extLst>
        </c:ser>
        <c:ser>
          <c:idx val="1"/>
          <c:order val="2"/>
          <c:tx>
            <c:v>Student's Estimated Debt</c:v>
          </c:tx>
          <c:spPr>
            <a:gradFill flip="none" rotWithShape="1">
              <a:gsLst>
                <a:gs pos="0">
                  <a:schemeClr val="accent2">
                    <a:lumMod val="67000"/>
                  </a:schemeClr>
                </a:gs>
                <a:gs pos="90000">
                  <a:schemeClr val="accent2">
                    <a:lumMod val="97000"/>
                    <a:lumOff val="3000"/>
                  </a:schemeClr>
                </a:gs>
                <a:gs pos="100000">
                  <a:schemeClr val="accent2">
                    <a:lumMod val="60000"/>
                    <a:lumOff val="4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/>
            <a:sp3d/>
          </c:spPr>
          <c:invertIfNegative val="1"/>
          <c:dLbls>
            <c:dLbl>
              <c:idx val="0"/>
              <c:layout>
                <c:manualLayout>
                  <c:x val="0"/>
                  <c:y val="4.81622306717363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A8A-4D5E-91BA-BAB975E3D5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'Expenses &amp; Debt'!$C$20</c:f>
              <c:numCache>
                <c:formatCode>"$"#,##0.00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8A-4D5E-91BA-BAB975E3D5CB}"/>
            </c:ext>
          </c:extLst>
        </c:ser>
        <c:ser>
          <c:idx val="3"/>
          <c:order val="3"/>
          <c:tx>
            <c:v>Osgoode's Estimated Debt</c:v>
          </c:tx>
          <c:spPr>
            <a:gradFill flip="none" rotWithShape="1">
              <a:gsLst>
                <a:gs pos="0">
                  <a:schemeClr val="accent4">
                    <a:lumMod val="67000"/>
                  </a:schemeClr>
                </a:gs>
                <a:gs pos="90000">
                  <a:schemeClr val="accent4">
                    <a:lumMod val="97000"/>
                    <a:lumOff val="3000"/>
                  </a:schemeClr>
                </a:gs>
                <a:gs pos="100000">
                  <a:schemeClr val="accent4">
                    <a:lumMod val="60000"/>
                    <a:lumOff val="4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/>
            <a:sp3d/>
          </c:spPr>
          <c:invertIfNegative val="1"/>
          <c:dLbls>
            <c:dLbl>
              <c:idx val="0"/>
              <c:layout>
                <c:manualLayout>
                  <c:x val="1.7969449389185969E-3"/>
                  <c:y val="4.81622306717362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A8A-4D5E-91BA-BAB975E3D5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'Expenses &amp; Debt'!$D$20</c:f>
              <c:numCache>
                <c:formatCode>"$"#,##0.00</c:formatCode>
                <c:ptCount val="1"/>
                <c:pt idx="0">
                  <c:v>14584.006451612902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8A-4D5E-91BA-BAB975E3D5C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gapDepth val="0"/>
        <c:shape val="box"/>
        <c:axId val="577298703"/>
        <c:axId val="577308783"/>
        <c:axId val="0"/>
      </c:bar3DChart>
      <c:catAx>
        <c:axId val="577298703"/>
        <c:scaling>
          <c:orientation val="minMax"/>
        </c:scaling>
        <c:delete val="1"/>
        <c:axPos val="b"/>
        <c:majorTickMark val="none"/>
        <c:minorTickMark val="none"/>
        <c:tickLblPos val="nextTo"/>
        <c:crossAx val="577308783"/>
        <c:crosses val="autoZero"/>
        <c:auto val="1"/>
        <c:lblAlgn val="ctr"/>
        <c:lblOffset val="100"/>
        <c:noMultiLvlLbl val="0"/>
      </c:catAx>
      <c:valAx>
        <c:axId val="5773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2987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Budget Summary (year)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1"/>
          <c:order val="0"/>
          <c:tx>
            <c:v>Student's Estimated Income</c:v>
          </c:tx>
          <c:spPr>
            <a:gradFill flip="none" rotWithShape="1">
              <a:gsLst>
                <a:gs pos="0">
                  <a:schemeClr val="accent1">
                    <a:lumMod val="67000"/>
                  </a:schemeClr>
                </a:gs>
                <a:gs pos="90000">
                  <a:schemeClr val="accent1">
                    <a:lumMod val="97000"/>
                    <a:lumOff val="3000"/>
                  </a:schemeClr>
                </a:gs>
                <a:gs pos="100000">
                  <a:schemeClr val="accent1">
                    <a:lumMod val="60000"/>
                    <a:lumOff val="4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/>
            <a:sp3d/>
          </c:spPr>
          <c:invertIfNegative val="1"/>
          <c:dLbls>
            <c:dLbl>
              <c:idx val="0"/>
              <c:layout>
                <c:manualLayout>
                  <c:x val="0"/>
                  <c:y val="6.392694063926940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78D-4BF1-9010-72C8B8A4AE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'Budget Summary'!$C$12</c:f>
              <c:numCache>
                <c:formatCode>"$"#,##0.00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8D-4BF1-9010-72C8B8A4AE83}"/>
            </c:ext>
          </c:extLst>
        </c:ser>
        <c:ser>
          <c:idx val="0"/>
          <c:order val="1"/>
          <c:tx>
            <c:v>Student's Estimated Expenses</c:v>
          </c:tx>
          <c:spPr>
            <a:gradFill flip="none" rotWithShape="1">
              <a:gsLst>
                <a:gs pos="0">
                  <a:schemeClr val="accent3">
                    <a:lumMod val="67000"/>
                  </a:schemeClr>
                </a:gs>
                <a:gs pos="90000">
                  <a:schemeClr val="accent3">
                    <a:lumMod val="97000"/>
                    <a:lumOff val="3000"/>
                  </a:schemeClr>
                </a:gs>
                <a:gs pos="100000">
                  <a:schemeClr val="accent3">
                    <a:lumMod val="60000"/>
                    <a:lumOff val="4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/>
            <a:sp3d/>
          </c:spPr>
          <c:invertIfNegative val="1"/>
          <c:dLbls>
            <c:dLbl>
              <c:idx val="0"/>
              <c:layout>
                <c:manualLayout>
                  <c:x val="0"/>
                  <c:y val="6.392694063926940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8D-4BF1-9010-72C8B8A4AE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'Budget Summary'!$C$13</c:f>
              <c:numCache>
                <c:formatCode>"$"#,##0.00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8D-4BF1-9010-72C8B8A4AE83}"/>
            </c:ext>
          </c:extLst>
        </c:ser>
        <c:ser>
          <c:idx val="2"/>
          <c:order val="2"/>
          <c:tx>
            <c:v>Surplus/Shortfall</c:v>
          </c:tx>
          <c:spPr>
            <a:gradFill flip="none" rotWithShape="1">
              <a:gsLst>
                <a:gs pos="0">
                  <a:schemeClr val="accent4">
                    <a:lumMod val="67000"/>
                  </a:schemeClr>
                </a:gs>
                <a:gs pos="90000">
                  <a:schemeClr val="accent4">
                    <a:lumMod val="97000"/>
                    <a:lumOff val="3000"/>
                  </a:schemeClr>
                </a:gs>
                <a:gs pos="100000">
                  <a:schemeClr val="accent4">
                    <a:lumMod val="60000"/>
                    <a:lumOff val="4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/>
            <a:sp3d/>
          </c:spPr>
          <c:invertIfNegative val="1"/>
          <c:dLbls>
            <c:dLbl>
              <c:idx val="0"/>
              <c:layout>
                <c:manualLayout>
                  <c:x val="-2.3330410602367319E-3"/>
                  <c:y val="6.08830403048933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986-4E4B-AA3E-B15F5B3ABBC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'Budget Summary'!$C$14</c:f>
              <c:numCache>
                <c:formatCode>"$"#,##0.00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78D-4BF1-9010-72C8B8A4AE8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gapDepth val="0"/>
        <c:shape val="box"/>
        <c:axId val="577298703"/>
        <c:axId val="577308783"/>
        <c:axId val="0"/>
      </c:bar3DChart>
      <c:catAx>
        <c:axId val="577298703"/>
        <c:scaling>
          <c:orientation val="minMax"/>
        </c:scaling>
        <c:delete val="1"/>
        <c:axPos val="b"/>
        <c:majorTickMark val="none"/>
        <c:minorTickMark val="none"/>
        <c:tickLblPos val="nextTo"/>
        <c:crossAx val="577308783"/>
        <c:crosses val="autoZero"/>
        <c:auto val="1"/>
        <c:lblAlgn val="ctr"/>
        <c:lblOffset val="100"/>
        <c:noMultiLvlLbl val="0"/>
      </c:catAx>
      <c:valAx>
        <c:axId val="5773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2987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Budget Summary (program)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Student's Estimated Income</c:v>
          </c:tx>
          <c:spPr>
            <a:gradFill flip="none" rotWithShape="1">
              <a:gsLst>
                <a:gs pos="0">
                  <a:schemeClr val="accent1">
                    <a:lumMod val="67000"/>
                  </a:schemeClr>
                </a:gs>
                <a:gs pos="90000">
                  <a:schemeClr val="accent1">
                    <a:lumMod val="97000"/>
                    <a:lumOff val="3000"/>
                  </a:schemeClr>
                </a:gs>
                <a:gs pos="100000">
                  <a:schemeClr val="accent1">
                    <a:lumMod val="60000"/>
                    <a:lumOff val="4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/>
            <a:sp3d/>
          </c:spPr>
          <c:invertIfNegative val="1"/>
          <c:dLbls>
            <c:dLbl>
              <c:idx val="0"/>
              <c:layout>
                <c:manualLayout>
                  <c:x val="-2.3330410602367749E-3"/>
                  <c:y val="5.78386605783865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E35-43DA-9DCF-7DECA8B55D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'Projected Budget'!$F$43</c:f>
              <c:numCache>
                <c:formatCode>"$"#,##0.00</c:formatCode>
                <c:ptCount val="1"/>
                <c:pt idx="0">
                  <c:v>4500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E35-43DA-9DCF-7DECA8B55D5C}"/>
            </c:ext>
          </c:extLst>
        </c:ser>
        <c:ser>
          <c:idx val="1"/>
          <c:order val="1"/>
          <c:tx>
            <c:v>Student's Estimated Expenses</c:v>
          </c:tx>
          <c:spPr>
            <a:gradFill flip="none" rotWithShape="1">
              <a:gsLst>
                <a:gs pos="0">
                  <a:schemeClr val="accent3">
                    <a:lumMod val="67000"/>
                  </a:schemeClr>
                </a:gs>
                <a:gs pos="90000">
                  <a:schemeClr val="accent3">
                    <a:lumMod val="97000"/>
                    <a:lumOff val="3000"/>
                  </a:schemeClr>
                </a:gs>
                <a:gs pos="100000">
                  <a:schemeClr val="accent3">
                    <a:lumMod val="60000"/>
                    <a:lumOff val="4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/>
            <a:sp3d/>
          </c:spPr>
          <c:invertIfNegative val="1"/>
          <c:dLbls>
            <c:dLbl>
              <c:idx val="0"/>
              <c:layout>
                <c:manualLayout>
                  <c:x val="-2.3330410602367319E-3"/>
                  <c:y val="5.78386605783864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E35-43DA-9DCF-7DECA8B55D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'Projected Budget'!$F$39</c:f>
              <c:numCache>
                <c:formatCode>"$"#,##0.00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E35-43DA-9DCF-7DECA8B55D5C}"/>
            </c:ext>
          </c:extLst>
        </c:ser>
        <c:ser>
          <c:idx val="2"/>
          <c:order val="2"/>
          <c:tx>
            <c:v>Surplus/Shortfall</c:v>
          </c:tx>
          <c:spPr>
            <a:gradFill flip="none" rotWithShape="1">
              <a:gsLst>
                <a:gs pos="0">
                  <a:schemeClr val="accent4">
                    <a:lumMod val="67000"/>
                  </a:schemeClr>
                </a:gs>
                <a:gs pos="90000">
                  <a:schemeClr val="accent4">
                    <a:lumMod val="97000"/>
                    <a:lumOff val="3000"/>
                  </a:schemeClr>
                </a:gs>
                <a:gs pos="100000">
                  <a:schemeClr val="accent4">
                    <a:lumMod val="60000"/>
                    <a:lumOff val="4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/>
            <a:sp3d/>
          </c:spPr>
          <c:invertIfNegative val="1"/>
          <c:dLbls>
            <c:dLbl>
              <c:idx val="0"/>
              <c:layout>
                <c:manualLayout>
                  <c:x val="-8.5543850665484209E-17"/>
                  <c:y val="6.08828006088278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E35-43DA-9DCF-7DECA8B55D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'Projected Budget'!$F$44</c:f>
              <c:numCache>
                <c:formatCode>"$"#,##0.00</c:formatCode>
                <c:ptCount val="1"/>
                <c:pt idx="0">
                  <c:v>4500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E35-43DA-9DCF-7DECA8B55D5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gapDepth val="0"/>
        <c:shape val="box"/>
        <c:axId val="577298703"/>
        <c:axId val="577308783"/>
        <c:axId val="0"/>
      </c:bar3DChart>
      <c:catAx>
        <c:axId val="577298703"/>
        <c:scaling>
          <c:orientation val="minMax"/>
        </c:scaling>
        <c:delete val="1"/>
        <c:axPos val="b"/>
        <c:majorTickMark val="none"/>
        <c:minorTickMark val="none"/>
        <c:tickLblPos val="nextTo"/>
        <c:crossAx val="577308783"/>
        <c:crosses val="autoZero"/>
        <c:auto val="1"/>
        <c:lblAlgn val="ctr"/>
        <c:lblOffset val="100"/>
        <c:noMultiLvlLbl val="0"/>
      </c:catAx>
      <c:valAx>
        <c:axId val="5773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2987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Drop" dropLines="3" dropStyle="combo" dx="22" fmlaLink="$C$5" fmlaRange="$B$14:$B$16" sel="1" val="0"/>
</file>

<file path=xl/ctrlProps/ctrlProp2.xml><?xml version="1.0" encoding="utf-8"?>
<formControlPr xmlns="http://schemas.microsoft.com/office/spreadsheetml/2009/9/main" objectType="Drop" dropLines="3" dropStyle="combo" dx="22" fmlaLink="$C$7" fmlaRange="$C$14:$C$16" sel="1" val="0"/>
</file>

<file path=xl/ctrlProps/ctrlProp3.xml><?xml version="1.0" encoding="utf-8"?>
<formControlPr xmlns="http://schemas.microsoft.com/office/spreadsheetml/2009/9/main" objectType="Drop" dropLines="3" dropStyle="combo" dx="22" fmlaLink="$C$9" fmlaRange="$D$14:$D$16" sel="1" val="0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1428751</xdr:colOff>
      <xdr:row>15</xdr:row>
      <xdr:rowOff>209550</xdr:rowOff>
    </xdr:from>
    <xdr:to>
      <xdr:col>4</xdr:col>
      <xdr:colOff>781051</xdr:colOff>
      <xdr:row>16</xdr:row>
      <xdr:rowOff>314325</xdr:rowOff>
    </xdr:to>
    <xdr:sp macro="[0]!GoToBackgroun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629276" y="6496050"/>
          <a:ext cx="1238250" cy="485775"/>
        </a:xfrm>
        <a:prstGeom prst="roundRect">
          <a:avLst/>
        </a:prstGeom>
        <a:solidFill>
          <a:srgbClr val="E31837"/>
        </a:solidFill>
        <a:ln>
          <a:solidFill>
            <a:srgbClr val="E318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NEXT</a:t>
          </a:r>
          <a:endParaRPr lang="en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666750</xdr:colOff>
      <xdr:row>12</xdr:row>
      <xdr:rowOff>76200</xdr:rowOff>
    </xdr:from>
    <xdr:to>
      <xdr:col>4</xdr:col>
      <xdr:colOff>809625</xdr:colOff>
      <xdr:row>17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09625" y="5219700"/>
          <a:ext cx="6438900" cy="190500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</xdr:col>
      <xdr:colOff>1905000</xdr:colOff>
      <xdr:row>13</xdr:row>
      <xdr:rowOff>28575</xdr:rowOff>
    </xdr:from>
    <xdr:to>
      <xdr:col>3</xdr:col>
      <xdr:colOff>1171575</xdr:colOff>
      <xdr:row>14</xdr:row>
      <xdr:rowOff>133350</xdr:rowOff>
    </xdr:to>
    <xdr:sp macro="[0]!GoToIncom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400550" y="5553075"/>
          <a:ext cx="1238250" cy="485775"/>
        </a:xfrm>
        <a:prstGeom prst="roundRect">
          <a:avLst/>
        </a:prstGeom>
        <a:solidFill>
          <a:srgbClr val="E31837"/>
        </a:solidFill>
        <a:ln>
          <a:solidFill>
            <a:srgbClr val="E318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NEXT</a:t>
          </a:r>
          <a:endParaRPr lang="en-CA" sz="1400" b="1"/>
        </a:p>
      </xdr:txBody>
    </xdr:sp>
    <xdr:clientData/>
  </xdr:twoCellAnchor>
  <xdr:twoCellAnchor>
    <xdr:from>
      <xdr:col>2</xdr:col>
      <xdr:colOff>323850</xdr:colOff>
      <xdr:row>13</xdr:row>
      <xdr:rowOff>38100</xdr:rowOff>
    </xdr:from>
    <xdr:to>
      <xdr:col>2</xdr:col>
      <xdr:colOff>1562100</xdr:colOff>
      <xdr:row>14</xdr:row>
      <xdr:rowOff>142875</xdr:rowOff>
    </xdr:to>
    <xdr:sp macro="[0]!GoToWelcomePag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819400" y="5562600"/>
          <a:ext cx="1238250" cy="485775"/>
        </a:xfrm>
        <a:prstGeom prst="roundRect">
          <a:avLst/>
        </a:prstGeom>
        <a:solidFill>
          <a:srgbClr val="E31837"/>
        </a:solidFill>
        <a:ln>
          <a:solidFill>
            <a:srgbClr val="E318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BACK</a:t>
          </a:r>
          <a:endParaRPr lang="en-CA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4</xdr:row>
          <xdr:rowOff>57150</xdr:rowOff>
        </xdr:from>
        <xdr:to>
          <xdr:col>3</xdr:col>
          <xdr:colOff>47625</xdr:colOff>
          <xdr:row>4</xdr:row>
          <xdr:rowOff>361950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6</xdr:row>
          <xdr:rowOff>57150</xdr:rowOff>
        </xdr:from>
        <xdr:to>
          <xdr:col>3</xdr:col>
          <xdr:colOff>47625</xdr:colOff>
          <xdr:row>6</xdr:row>
          <xdr:rowOff>361950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57150</xdr:rowOff>
        </xdr:from>
        <xdr:to>
          <xdr:col>3</xdr:col>
          <xdr:colOff>57150</xdr:colOff>
          <xdr:row>8</xdr:row>
          <xdr:rowOff>361950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4476750</xdr:colOff>
      <xdr:row>15</xdr:row>
      <xdr:rowOff>142875</xdr:rowOff>
    </xdr:from>
    <xdr:to>
      <xdr:col>2</xdr:col>
      <xdr:colOff>885825</xdr:colOff>
      <xdr:row>16</xdr:row>
      <xdr:rowOff>247650</xdr:rowOff>
    </xdr:to>
    <xdr:sp macro="[0]!GoToExpens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19625" y="6429375"/>
          <a:ext cx="1238250" cy="485775"/>
        </a:xfrm>
        <a:prstGeom prst="roundRect">
          <a:avLst/>
        </a:prstGeom>
        <a:solidFill>
          <a:srgbClr val="E31837"/>
        </a:solidFill>
        <a:ln>
          <a:solidFill>
            <a:srgbClr val="E318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NEXT</a:t>
          </a:r>
          <a:endParaRPr lang="en-CA" sz="1400" b="1"/>
        </a:p>
      </xdr:txBody>
    </xdr:sp>
    <xdr:clientData/>
  </xdr:twoCellAnchor>
  <xdr:twoCellAnchor>
    <xdr:from>
      <xdr:col>1</xdr:col>
      <xdr:colOff>2809875</xdr:colOff>
      <xdr:row>15</xdr:row>
      <xdr:rowOff>142875</xdr:rowOff>
    </xdr:from>
    <xdr:to>
      <xdr:col>1</xdr:col>
      <xdr:colOff>4048125</xdr:colOff>
      <xdr:row>16</xdr:row>
      <xdr:rowOff>247650</xdr:rowOff>
    </xdr:to>
    <xdr:sp macro="[0]!GoToBackground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952750" y="6429375"/>
          <a:ext cx="1238250" cy="485775"/>
        </a:xfrm>
        <a:prstGeom prst="roundRect">
          <a:avLst/>
        </a:prstGeom>
        <a:solidFill>
          <a:srgbClr val="E31837"/>
        </a:solidFill>
        <a:ln>
          <a:solidFill>
            <a:srgbClr val="E318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BACK</a:t>
          </a:r>
          <a:endParaRPr lang="en-CA" sz="1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1781175</xdr:colOff>
      <xdr:row>23</xdr:row>
      <xdr:rowOff>314325</xdr:rowOff>
    </xdr:from>
    <xdr:to>
      <xdr:col>3</xdr:col>
      <xdr:colOff>1047750</xdr:colOff>
      <xdr:row>25</xdr:row>
      <xdr:rowOff>38100</xdr:rowOff>
    </xdr:to>
    <xdr:sp macro="[0]!GoToBudgetSummary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552950" y="9648825"/>
          <a:ext cx="1238250" cy="485775"/>
        </a:xfrm>
        <a:prstGeom prst="roundRect">
          <a:avLst/>
        </a:prstGeom>
        <a:solidFill>
          <a:srgbClr val="E31837"/>
        </a:solidFill>
        <a:ln>
          <a:solidFill>
            <a:srgbClr val="E318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NEXT</a:t>
          </a:r>
          <a:endParaRPr lang="en-CA" sz="1400" b="1"/>
        </a:p>
      </xdr:txBody>
    </xdr:sp>
    <xdr:clientData/>
  </xdr:twoCellAnchor>
  <xdr:twoCellAnchor>
    <xdr:from>
      <xdr:col>2</xdr:col>
      <xdr:colOff>114300</xdr:colOff>
      <xdr:row>23</xdr:row>
      <xdr:rowOff>314325</xdr:rowOff>
    </xdr:from>
    <xdr:to>
      <xdr:col>2</xdr:col>
      <xdr:colOff>1352550</xdr:colOff>
      <xdr:row>25</xdr:row>
      <xdr:rowOff>38100</xdr:rowOff>
    </xdr:to>
    <xdr:sp macro="[0]!GoToIncom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886075" y="9648825"/>
          <a:ext cx="1238250" cy="485775"/>
        </a:xfrm>
        <a:prstGeom prst="roundRect">
          <a:avLst/>
        </a:prstGeom>
        <a:solidFill>
          <a:srgbClr val="E31837"/>
        </a:solidFill>
        <a:ln>
          <a:solidFill>
            <a:srgbClr val="E318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BACK</a:t>
          </a:r>
          <a:endParaRPr lang="en-CA" sz="1400" b="1"/>
        </a:p>
      </xdr:txBody>
    </xdr:sp>
    <xdr:clientData/>
  </xdr:twoCellAnchor>
  <xdr:twoCellAnchor>
    <xdr:from>
      <xdr:col>4</xdr:col>
      <xdr:colOff>571499</xdr:colOff>
      <xdr:row>3</xdr:row>
      <xdr:rowOff>247650</xdr:rowOff>
    </xdr:from>
    <xdr:to>
      <xdr:col>10</xdr:col>
      <xdr:colOff>485775</xdr:colOff>
      <xdr:row>16</xdr:row>
      <xdr:rowOff>304800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1676400</xdr:colOff>
      <xdr:row>9</xdr:row>
      <xdr:rowOff>190500</xdr:rowOff>
    </xdr:from>
    <xdr:to>
      <xdr:col>5</xdr:col>
      <xdr:colOff>800100</xdr:colOff>
      <xdr:row>12</xdr:row>
      <xdr:rowOff>133350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6419850" y="4191000"/>
          <a:ext cx="2838450" cy="1085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1200" b="1">
              <a:latin typeface="+mn-lt"/>
            </a:rPr>
            <a:t>Note:</a:t>
          </a:r>
          <a:r>
            <a:rPr lang="en-CA" sz="1200" b="1" baseline="0">
              <a:latin typeface="+mn-lt"/>
            </a:rPr>
            <a:t> This is a rough estimation and should not be taken literally, as personal situations, expenses, debt, and fees may change over the remainder of the program.</a:t>
          </a:r>
          <a:endParaRPr lang="en-CA" sz="1200" b="1">
            <a:latin typeface="+mn-lt"/>
          </a:endParaRPr>
        </a:p>
      </xdr:txBody>
    </xdr:sp>
    <xdr:clientData/>
  </xdr:twoCellAnchor>
  <xdr:twoCellAnchor>
    <xdr:from>
      <xdr:col>1</xdr:col>
      <xdr:colOff>14286</xdr:colOff>
      <xdr:row>3</xdr:row>
      <xdr:rowOff>209550</xdr:rowOff>
    </xdr:from>
    <xdr:to>
      <xdr:col>3</xdr:col>
      <xdr:colOff>857250</xdr:colOff>
      <xdr:row>14</xdr:row>
      <xdr:rowOff>190500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1457324</xdr:colOff>
      <xdr:row>7</xdr:row>
      <xdr:rowOff>247650</xdr:rowOff>
    </xdr:from>
    <xdr:to>
      <xdr:col>5</xdr:col>
      <xdr:colOff>1371599</xdr:colOff>
      <xdr:row>10</xdr:row>
      <xdr:rowOff>57150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200774" y="3486150"/>
          <a:ext cx="3629025" cy="952500"/>
        </a:xfrm>
        <a:prstGeom prst="rightArrow">
          <a:avLst/>
        </a:prstGeom>
        <a:solidFill>
          <a:srgbClr val="E31837"/>
        </a:solidFill>
        <a:ln>
          <a:solidFill>
            <a:srgbClr val="E318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3</xdr:col>
      <xdr:colOff>1524000</xdr:colOff>
      <xdr:row>6</xdr:row>
      <xdr:rowOff>228600</xdr:rowOff>
    </xdr:from>
    <xdr:to>
      <xdr:col>5</xdr:col>
      <xdr:colOff>933450</xdr:colOff>
      <xdr:row>8</xdr:row>
      <xdr:rowOff>152400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6267450" y="3086100"/>
          <a:ext cx="3124200" cy="685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1200" b="1">
              <a:latin typeface="+mn-lt"/>
            </a:rPr>
            <a:t>If</a:t>
          </a:r>
          <a:r>
            <a:rPr lang="en-CA" sz="1200" b="1" baseline="0">
              <a:latin typeface="+mn-lt"/>
            </a:rPr>
            <a:t> your situation remains the same, here is your budget summary over the remainder of the JD program.</a:t>
          </a:r>
          <a:endParaRPr lang="en-CA" sz="1200" b="1">
            <a:latin typeface="+mn-lt"/>
          </a:endParaRPr>
        </a:p>
      </xdr:txBody>
    </xdr:sp>
    <xdr:clientData/>
  </xdr:twoCellAnchor>
  <xdr:twoCellAnchor>
    <xdr:from>
      <xdr:col>6</xdr:col>
      <xdr:colOff>38100</xdr:colOff>
      <xdr:row>3</xdr:row>
      <xdr:rowOff>209550</xdr:rowOff>
    </xdr:from>
    <xdr:to>
      <xdr:col>13</xdr:col>
      <xdr:colOff>14289</xdr:colOff>
      <xdr:row>14</xdr:row>
      <xdr:rowOff>190500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1657350</xdr:colOff>
      <xdr:row>13</xdr:row>
      <xdr:rowOff>66675</xdr:rowOff>
    </xdr:from>
    <xdr:to>
      <xdr:col>4</xdr:col>
      <xdr:colOff>923925</xdr:colOff>
      <xdr:row>14</xdr:row>
      <xdr:rowOff>171450</xdr:rowOff>
    </xdr:to>
    <xdr:sp macro="[0]!GoToExpense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6400800" y="5591175"/>
          <a:ext cx="1238250" cy="485775"/>
        </a:xfrm>
        <a:prstGeom prst="roundRect">
          <a:avLst/>
        </a:prstGeom>
        <a:solidFill>
          <a:srgbClr val="E31837"/>
        </a:solidFill>
        <a:ln>
          <a:solidFill>
            <a:srgbClr val="E318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/>
            <a:t>BACK</a:t>
          </a:r>
        </a:p>
      </xdr:txBody>
    </xdr:sp>
    <xdr:clientData/>
  </xdr:twoCellAnchor>
  <xdr:twoCellAnchor>
    <xdr:from>
      <xdr:col>4</xdr:col>
      <xdr:colOff>1343025</xdr:colOff>
      <xdr:row>13</xdr:row>
      <xdr:rowOff>66675</xdr:rowOff>
    </xdr:from>
    <xdr:to>
      <xdr:col>5</xdr:col>
      <xdr:colOff>838200</xdr:colOff>
      <xdr:row>14</xdr:row>
      <xdr:rowOff>171450</xdr:rowOff>
    </xdr:to>
    <xdr:sp macro="[0]!GoToHelpfulLinks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8058150" y="5591175"/>
          <a:ext cx="1238250" cy="485775"/>
        </a:xfrm>
        <a:prstGeom prst="roundRect">
          <a:avLst/>
        </a:prstGeom>
        <a:solidFill>
          <a:srgbClr val="E31837"/>
        </a:solidFill>
        <a:ln>
          <a:solidFill>
            <a:srgbClr val="E318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/>
            <a:t>NEXT</a:t>
          </a:r>
        </a:p>
      </xdr:txBody>
    </xdr:sp>
    <xdr:clientData/>
  </xdr:twoCellAnchor>
  <xdr:twoCellAnchor>
    <xdr:from>
      <xdr:col>3</xdr:col>
      <xdr:colOff>952500</xdr:colOff>
      <xdr:row>3</xdr:row>
      <xdr:rowOff>314324</xdr:rowOff>
    </xdr:from>
    <xdr:to>
      <xdr:col>5</xdr:col>
      <xdr:colOff>1819275</xdr:colOff>
      <xdr:row>5</xdr:row>
      <xdr:rowOff>238125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5695950" y="2028824"/>
          <a:ext cx="4581525" cy="685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200" b="1">
              <a:latin typeface="+mn-lt"/>
            </a:rPr>
            <a:t>Surplus (Positive</a:t>
          </a:r>
          <a:r>
            <a:rPr lang="en-CA" sz="1200" b="1" baseline="0">
              <a:latin typeface="+mn-lt"/>
            </a:rPr>
            <a:t> $)</a:t>
          </a:r>
          <a:r>
            <a:rPr lang="en-CA" sz="1200" b="1">
              <a:latin typeface="+mn-lt"/>
            </a:rPr>
            <a:t>: You have more income than expenses.</a:t>
          </a:r>
        </a:p>
        <a:p>
          <a:pPr algn="l"/>
          <a:r>
            <a:rPr lang="en-CA" sz="500" b="1">
              <a:solidFill>
                <a:schemeClr val="bg1"/>
              </a:solidFill>
              <a:latin typeface="+mn-lt"/>
            </a:rPr>
            <a:t>_</a:t>
          </a:r>
          <a:br>
            <a:rPr lang="en-CA" sz="1200" b="1">
              <a:latin typeface="+mn-lt"/>
            </a:rPr>
          </a:br>
          <a:r>
            <a:rPr lang="en-CA" sz="1200" b="1">
              <a:latin typeface="+mn-lt"/>
            </a:rPr>
            <a:t>Shortfall (Negative $): You have more expenses than income.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238125</xdr:rowOff>
    </xdr:from>
    <xdr:to>
      <xdr:col>2</xdr:col>
      <xdr:colOff>1400175</xdr:colOff>
      <xdr:row>7</xdr:row>
      <xdr:rowOff>295275</xdr:rowOff>
    </xdr:to>
    <xdr:sp macro="[0]!Open_TuitionFe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42875" y="2962275"/>
          <a:ext cx="2971800" cy="371475"/>
        </a:xfrm>
        <a:prstGeom prst="roundRect">
          <a:avLst/>
        </a:prstGeom>
        <a:solidFill>
          <a:srgbClr val="E31837"/>
        </a:solidFill>
        <a:ln>
          <a:solidFill>
            <a:srgbClr val="E318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/>
            <a:t>View</a:t>
          </a:r>
          <a:r>
            <a:rPr lang="en-CA" sz="1400" b="1" baseline="0"/>
            <a:t> Tuition &amp; Deadlines</a:t>
          </a:r>
          <a:endParaRPr lang="en-CA" sz="1400" b="1"/>
        </a:p>
      </xdr:txBody>
    </xdr:sp>
    <xdr:clientData/>
  </xdr:twoCellAnchor>
  <xdr:twoCellAnchor>
    <xdr:from>
      <xdr:col>1</xdr:col>
      <xdr:colOff>0</xdr:colOff>
      <xdr:row>21</xdr:row>
      <xdr:rowOff>238125</xdr:rowOff>
    </xdr:from>
    <xdr:to>
      <xdr:col>2</xdr:col>
      <xdr:colOff>1400175</xdr:colOff>
      <xdr:row>22</xdr:row>
      <xdr:rowOff>295275</xdr:rowOff>
    </xdr:to>
    <xdr:sp macro="[0]!Open_Bursaries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42875" y="2962275"/>
          <a:ext cx="2971800" cy="371475"/>
        </a:xfrm>
        <a:prstGeom prst="roundRect">
          <a:avLst/>
        </a:prstGeom>
        <a:solidFill>
          <a:srgbClr val="E31837"/>
        </a:solidFill>
        <a:ln>
          <a:solidFill>
            <a:srgbClr val="E318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/>
            <a:t>See</a:t>
          </a:r>
          <a:r>
            <a:rPr lang="en-CA" sz="1400" b="1" baseline="0"/>
            <a:t> Bursary Details</a:t>
          </a:r>
          <a:endParaRPr lang="en-CA" sz="1400" b="1"/>
        </a:p>
      </xdr:txBody>
    </xdr:sp>
    <xdr:clientData/>
  </xdr:twoCellAnchor>
  <xdr:twoCellAnchor>
    <xdr:from>
      <xdr:col>1</xdr:col>
      <xdr:colOff>0</xdr:colOff>
      <xdr:row>26</xdr:row>
      <xdr:rowOff>238125</xdr:rowOff>
    </xdr:from>
    <xdr:to>
      <xdr:col>2</xdr:col>
      <xdr:colOff>1400175</xdr:colOff>
      <xdr:row>27</xdr:row>
      <xdr:rowOff>295275</xdr:rowOff>
    </xdr:to>
    <xdr:sp macro="[0]!Open_ExternalAwards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42875" y="2962275"/>
          <a:ext cx="2971800" cy="371475"/>
        </a:xfrm>
        <a:prstGeom prst="roundRect">
          <a:avLst/>
        </a:prstGeom>
        <a:solidFill>
          <a:srgbClr val="E31837"/>
        </a:solidFill>
        <a:ln>
          <a:solidFill>
            <a:srgbClr val="E318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/>
            <a:t>Find</a:t>
          </a:r>
          <a:r>
            <a:rPr lang="en-CA" sz="1400" b="1" baseline="0"/>
            <a:t> Scholarships</a:t>
          </a:r>
          <a:endParaRPr lang="en-CA" sz="1400" b="1"/>
        </a:p>
      </xdr:txBody>
    </xdr:sp>
    <xdr:clientData/>
  </xdr:twoCellAnchor>
  <xdr:twoCellAnchor>
    <xdr:from>
      <xdr:col>1</xdr:col>
      <xdr:colOff>0</xdr:colOff>
      <xdr:row>31</xdr:row>
      <xdr:rowOff>238125</xdr:rowOff>
    </xdr:from>
    <xdr:to>
      <xdr:col>2</xdr:col>
      <xdr:colOff>1400175</xdr:colOff>
      <xdr:row>32</xdr:row>
      <xdr:rowOff>295275</xdr:rowOff>
    </xdr:to>
    <xdr:sp macro="[0]!Open_ExternalAwards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42875" y="2962275"/>
          <a:ext cx="2971800" cy="371475"/>
        </a:xfrm>
        <a:prstGeom prst="roundRect">
          <a:avLst/>
        </a:prstGeom>
        <a:solidFill>
          <a:srgbClr val="E31837"/>
        </a:solidFill>
        <a:ln>
          <a:solidFill>
            <a:srgbClr val="E318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/>
            <a:t>Search</a:t>
          </a:r>
          <a:r>
            <a:rPr lang="en-CA" sz="1400" b="1" baseline="0"/>
            <a:t> External Awards</a:t>
          </a:r>
          <a:endParaRPr lang="en-CA" sz="1400" b="1"/>
        </a:p>
      </xdr:txBody>
    </xdr:sp>
    <xdr:clientData/>
  </xdr:twoCellAnchor>
  <xdr:twoCellAnchor>
    <xdr:from>
      <xdr:col>1</xdr:col>
      <xdr:colOff>0</xdr:colOff>
      <xdr:row>11</xdr:row>
      <xdr:rowOff>238125</xdr:rowOff>
    </xdr:from>
    <xdr:to>
      <xdr:col>2</xdr:col>
      <xdr:colOff>1400175</xdr:colOff>
      <xdr:row>12</xdr:row>
      <xdr:rowOff>295275</xdr:rowOff>
    </xdr:to>
    <xdr:sp macro="[0]!Open_GovFunding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142875" y="2962275"/>
          <a:ext cx="2971800" cy="371475"/>
        </a:xfrm>
        <a:prstGeom prst="roundRect">
          <a:avLst/>
        </a:prstGeom>
        <a:solidFill>
          <a:srgbClr val="E31837"/>
        </a:solidFill>
        <a:ln>
          <a:solidFill>
            <a:srgbClr val="E318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/>
            <a:t>Explore</a:t>
          </a:r>
          <a:r>
            <a:rPr lang="en-CA" sz="1400" b="1" baseline="0"/>
            <a:t> Funding Options</a:t>
          </a:r>
          <a:endParaRPr lang="en-CA" sz="1400" b="1"/>
        </a:p>
      </xdr:txBody>
    </xdr:sp>
    <xdr:clientData/>
  </xdr:twoCellAnchor>
  <xdr:twoCellAnchor>
    <xdr:from>
      <xdr:col>1</xdr:col>
      <xdr:colOff>0</xdr:colOff>
      <xdr:row>36</xdr:row>
      <xdr:rowOff>238125</xdr:rowOff>
    </xdr:from>
    <xdr:to>
      <xdr:col>2</xdr:col>
      <xdr:colOff>1400175</xdr:colOff>
      <xdr:row>37</xdr:row>
      <xdr:rowOff>295275</xdr:rowOff>
    </xdr:to>
    <xdr:sp macro="[0]!Open_Residence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42875" y="2962275"/>
          <a:ext cx="2971800" cy="371475"/>
        </a:xfrm>
        <a:prstGeom prst="roundRect">
          <a:avLst/>
        </a:prstGeom>
        <a:solidFill>
          <a:srgbClr val="E31837"/>
        </a:solidFill>
        <a:ln>
          <a:solidFill>
            <a:srgbClr val="E318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/>
            <a:t>View</a:t>
          </a:r>
          <a:r>
            <a:rPr lang="en-CA" sz="1400" b="1" baseline="0"/>
            <a:t> Housing Options</a:t>
          </a:r>
          <a:endParaRPr lang="en-CA" sz="1400" b="1"/>
        </a:p>
      </xdr:txBody>
    </xdr:sp>
    <xdr:clientData/>
  </xdr:twoCellAnchor>
  <xdr:twoCellAnchor>
    <xdr:from>
      <xdr:col>1</xdr:col>
      <xdr:colOff>0</xdr:colOff>
      <xdr:row>41</xdr:row>
      <xdr:rowOff>238125</xdr:rowOff>
    </xdr:from>
    <xdr:to>
      <xdr:col>2</xdr:col>
      <xdr:colOff>1400175</xdr:colOff>
      <xdr:row>42</xdr:row>
      <xdr:rowOff>295275</xdr:rowOff>
    </xdr:to>
    <xdr:sp macro="[0]!Open_StudentEmployment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142875" y="2962275"/>
          <a:ext cx="2971800" cy="371475"/>
        </a:xfrm>
        <a:prstGeom prst="roundRect">
          <a:avLst/>
        </a:prstGeom>
        <a:solidFill>
          <a:srgbClr val="E31837"/>
        </a:solidFill>
        <a:ln>
          <a:solidFill>
            <a:srgbClr val="E318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/>
            <a:t>Find</a:t>
          </a:r>
          <a:r>
            <a:rPr lang="en-CA" sz="1400" b="1" baseline="0"/>
            <a:t> Job Opportunities</a:t>
          </a:r>
          <a:endParaRPr lang="en-CA" sz="1400" b="1"/>
        </a:p>
      </xdr:txBody>
    </xdr:sp>
    <xdr:clientData/>
  </xdr:twoCellAnchor>
  <xdr:twoCellAnchor>
    <xdr:from>
      <xdr:col>1</xdr:col>
      <xdr:colOff>0</xdr:colOff>
      <xdr:row>51</xdr:row>
      <xdr:rowOff>238125</xdr:rowOff>
    </xdr:from>
    <xdr:to>
      <xdr:col>2</xdr:col>
      <xdr:colOff>1400175</xdr:colOff>
      <xdr:row>52</xdr:row>
      <xdr:rowOff>295275</xdr:rowOff>
    </xdr:to>
    <xdr:sp macro="[0]!Open_ContactUs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42875" y="12325350"/>
          <a:ext cx="2971800" cy="371475"/>
        </a:xfrm>
        <a:prstGeom prst="roundRect">
          <a:avLst/>
        </a:prstGeom>
        <a:solidFill>
          <a:srgbClr val="E31837"/>
        </a:solidFill>
        <a:ln>
          <a:solidFill>
            <a:srgbClr val="E318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/>
            <a:t>Contact</a:t>
          </a:r>
          <a:r>
            <a:rPr lang="en-CA" sz="1400" b="1" baseline="0"/>
            <a:t> Financial Services</a:t>
          </a:r>
          <a:endParaRPr lang="en-CA" sz="1400" b="1"/>
        </a:p>
      </xdr:txBody>
    </xdr:sp>
    <xdr:clientData/>
  </xdr:twoCellAnchor>
  <xdr:twoCellAnchor>
    <xdr:from>
      <xdr:col>1</xdr:col>
      <xdr:colOff>0</xdr:colOff>
      <xdr:row>46</xdr:row>
      <xdr:rowOff>238125</xdr:rowOff>
    </xdr:from>
    <xdr:to>
      <xdr:col>2</xdr:col>
      <xdr:colOff>1400175</xdr:colOff>
      <xdr:row>47</xdr:row>
      <xdr:rowOff>295275</xdr:rowOff>
    </xdr:to>
    <xdr:sp macro="[0]!Open_Health_Dental_Insurance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142875" y="12325350"/>
          <a:ext cx="2971800" cy="371475"/>
        </a:xfrm>
        <a:prstGeom prst="roundRect">
          <a:avLst/>
        </a:prstGeom>
        <a:solidFill>
          <a:srgbClr val="E31837"/>
        </a:solidFill>
        <a:ln>
          <a:solidFill>
            <a:srgbClr val="E318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/>
            <a:t>See Health</a:t>
          </a:r>
          <a:r>
            <a:rPr lang="en-CA" sz="1400" b="1" baseline="0"/>
            <a:t> &amp; Dental Info</a:t>
          </a:r>
          <a:endParaRPr lang="en-CA" sz="1400" b="1"/>
        </a:p>
      </xdr:txBody>
    </xdr:sp>
    <xdr:clientData/>
  </xdr:twoCellAnchor>
  <xdr:twoCellAnchor>
    <xdr:from>
      <xdr:col>3</xdr:col>
      <xdr:colOff>123825</xdr:colOff>
      <xdr:row>54</xdr:row>
      <xdr:rowOff>0</xdr:rowOff>
    </xdr:from>
    <xdr:to>
      <xdr:col>3</xdr:col>
      <xdr:colOff>1362075</xdr:colOff>
      <xdr:row>55</xdr:row>
      <xdr:rowOff>104775</xdr:rowOff>
    </xdr:to>
    <xdr:sp macro="[0]!GoToBudgetSummary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409950" y="16240125"/>
          <a:ext cx="1238250" cy="485775"/>
        </a:xfrm>
        <a:prstGeom prst="roundRect">
          <a:avLst/>
        </a:prstGeom>
        <a:solidFill>
          <a:srgbClr val="E31837"/>
        </a:solidFill>
        <a:ln>
          <a:solidFill>
            <a:srgbClr val="E318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/>
            <a:t>BACK</a:t>
          </a:r>
        </a:p>
      </xdr:txBody>
    </xdr:sp>
    <xdr:clientData/>
  </xdr:twoCellAnchor>
  <xdr:twoCellAnchor>
    <xdr:from>
      <xdr:col>1</xdr:col>
      <xdr:colOff>0</xdr:colOff>
      <xdr:row>16</xdr:row>
      <xdr:rowOff>238125</xdr:rowOff>
    </xdr:from>
    <xdr:to>
      <xdr:col>2</xdr:col>
      <xdr:colOff>1400175</xdr:colOff>
      <xdr:row>17</xdr:row>
      <xdr:rowOff>295275</xdr:rowOff>
    </xdr:to>
    <xdr:sp macro="[0]!Open_StudentLineOfCredi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42875" y="7610475"/>
          <a:ext cx="2971800" cy="371475"/>
        </a:xfrm>
        <a:prstGeom prst="roundRect">
          <a:avLst/>
        </a:prstGeom>
        <a:solidFill>
          <a:srgbClr val="E31837"/>
        </a:solidFill>
        <a:ln>
          <a:solidFill>
            <a:srgbClr val="E3183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/>
            <a:t>Learn</a:t>
          </a:r>
          <a:r>
            <a:rPr lang="en-CA" sz="1400" b="1" baseline="0"/>
            <a:t> About SLOC</a:t>
          </a:r>
          <a:endParaRPr lang="en-CA" sz="14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275431</xdr:colOff>
      <xdr:row>0</xdr:row>
      <xdr:rowOff>828940</xdr:rowOff>
    </xdr:from>
    <xdr:to>
      <xdr:col>12</xdr:col>
      <xdr:colOff>439738</xdr:colOff>
      <xdr:row>26</xdr:row>
      <xdr:rowOff>9790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9381" b="3159"/>
        <a:stretch>
          <a:fillRect/>
        </a:stretch>
      </xdr:blipFill>
      <xdr:spPr>
        <a:xfrm>
          <a:off x="12762706" y="828940"/>
          <a:ext cx="4555332" cy="96583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096D945-E5DE-497D-A26D-526D755A7603}" name="Table114" displayName="Table114" ref="B4:D20" totalsRowShown="0" headerRowDxfId="76" dataDxfId="75" tableBorderDxfId="74">
  <tableColumns count="3">
    <tableColumn id="1" xr3:uid="{5D7AAA07-3315-4BB6-92EC-136568A82D37}" name="Expense/Debt Type" dataDxfId="73" totalsRowDxfId="72"/>
    <tableColumn id="2" xr3:uid="{18F51B34-74F8-4B87-9ABA-F3F7B8DEC6D2}" name="Your Estimates" dataDxfId="71" totalsRowDxfId="70"/>
    <tableColumn id="3" xr3:uid="{BA917A88-FB58-4F2F-ABCC-0CEA3B7078FD}" name="Osgoode's Estimates" dataDxfId="69" totalsRowDxfId="68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487FA2-DC99-4312-8033-A7E8AAE5C9B7}" name="Table112" displayName="Table112" ref="B4:F12" totalsRowShown="0" headerRowDxfId="67" dataDxfId="66" tableBorderDxfId="65">
  <autoFilter ref="B4:F12" xr:uid="{13794BCF-E335-489A-94F7-C2EAC364F596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EE98A599-F6E2-4E72-AEB1-1268CE4F9D50}" name="Income/Resource Type" dataDxfId="64" totalsRowDxfId="63"/>
    <tableColumn id="2" xr3:uid="{1E3BD171-CAF2-49C6-8D87-B35F2BFF7885}" name="1L Projections" dataDxfId="62">
      <calculatedColumnFormula>SUM($C$5:$C$11)</calculatedColumnFormula>
    </tableColumn>
    <tableColumn id="3" xr3:uid="{48059ABD-4A03-4FF7-9D3F-CC0B177E80E6}" name="2L Projections" dataDxfId="61" totalsRowDxfId="60">
      <calculatedColumnFormula>SUM($D$5:$D$11)</calculatedColumnFormula>
    </tableColumn>
    <tableColumn id="4" xr3:uid="{0A852F81-A9E7-4FEA-8D43-BDC71AB6FB3D}" name="3L Projections" dataDxfId="59" totalsRowDxfId="58">
      <calculatedColumnFormula>IF(ISNUMBER($E$5),$E$5*8+SUM($E$6:$E$11),0)</calculatedColumnFormula>
    </tableColumn>
    <tableColumn id="6" xr3:uid="{8E7FA549-B2D6-4489-8729-8E1D478EADD1}" name="Avg % Increase" dataDxfId="57" totalsRowDxfId="56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F47B7B7-F37E-41DA-9DAC-9706EECBDD42}" name="Table1126" displayName="Table1126" ref="B15:F28" totalsRowShown="0" headerRowDxfId="55" dataDxfId="54" tableBorderDxfId="53">
  <tableColumns count="5">
    <tableColumn id="1" xr3:uid="{21713725-C751-4F98-95D6-32BED87673EC}" name="Expense Type" dataDxfId="52" totalsRowDxfId="51"/>
    <tableColumn id="2" xr3:uid="{7D03531F-B508-4BAF-A964-96C884B6C9B5}" name="1L Projections" dataDxfId="50" totalsRowDxfId="49">
      <calculatedColumnFormula>SUM($C$16:$C$33)</calculatedColumnFormula>
    </tableColumn>
    <tableColumn id="3" xr3:uid="{3D387313-EBDC-4C7E-B194-46441DBA1DE0}" name="2L Projections" dataDxfId="48" totalsRowDxfId="47">
      <calculatedColumnFormula>SUM($D$16:$D$33)</calculatedColumnFormula>
    </tableColumn>
    <tableColumn id="4" xr3:uid="{B3526B87-4374-4EE9-9308-F025626E1212}" name="3L Projections" dataDxfId="46" totalsRowDxfId="45">
      <calculatedColumnFormula>SUM($E$16:$E$33)</calculatedColumnFormula>
    </tableColumn>
    <tableColumn id="5" xr3:uid="{02185A3E-78C2-4447-B64C-4885828ED4C5}" name="Avg % Increase" dataDxfId="44" totalsRowDxfId="43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EE03E90-3A54-4CA2-9350-CCD2BDB1E97F}" name="Table6" displayName="Table6" ref="B37:F44" totalsRowShown="0" headerRowDxfId="42" tableBorderDxfId="41">
  <autoFilter ref="B37:F44" xr:uid="{AEE03E90-3A54-4CA2-9350-CCD2BDB1E97F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D800088E-FAD1-45E4-8F3F-EAD2C018C44E}" name="Totals Type" dataDxfId="40"/>
    <tableColumn id="2" xr3:uid="{C6BDF346-CC10-4B74-975B-D71CD127A4D5}" name="1L Projections" dataDxfId="39">
      <calculatedColumnFormula>$C$12</calculatedColumnFormula>
    </tableColumn>
    <tableColumn id="3" xr3:uid="{51D37873-47BB-45CA-8601-5CA3A03F2D99}" name="2L Projections" dataDxfId="38">
      <calculatedColumnFormula>$D$12</calculatedColumnFormula>
    </tableColumn>
    <tableColumn id="4" xr3:uid="{21B518F5-9D0B-4B33-92C5-342F40583E1A}" name="3L Projections" dataDxfId="37">
      <calculatedColumnFormula>$E$12</calculatedColumnFormula>
    </tableColumn>
    <tableColumn id="5" xr3:uid="{E7B3B1F5-F18C-4794-8CAB-AA218124A1F4}" name="Totals" dataDxfId="36"/>
  </tableColumns>
  <tableStyleInfo name="TableStyleLight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C05AE47-D81E-4BFF-B947-3160B79C60E1}" name="Table4" displayName="Table4" ref="B31:F34" totalsRowShown="0" headerRowDxfId="35" headerRowBorderDxfId="34" tableBorderDxfId="33">
  <autoFilter ref="B31:F34" xr:uid="{FC05AE47-D81E-4BFF-B947-3160B79C60E1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D864060B-3B8A-4523-AC21-41C9102CABF0}" name="Debt Type"/>
    <tableColumn id="2" xr3:uid="{AD6065AA-BE97-4064-A3F2-D01CC970C640}" name="1L Projections"/>
    <tableColumn id="3" xr3:uid="{70CA54E6-DCBA-4221-A2AE-325132129FB9}" name="2L Projections"/>
    <tableColumn id="4" xr3:uid="{0C3FB3B3-7495-490E-85C1-B7B9774A1253}" name="3L Projections"/>
    <tableColumn id="5" xr3:uid="{FBD5D3FC-2EA9-4F1F-A8A1-B1B5F3C2A989}" name="Avg $ Increase"/>
  </tableColumns>
  <tableStyleInfo name="TableStyleLight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3794BCF-E335-489A-94F7-C2EAC364F596}" name="Table11" displayName="Table11" ref="B4:E17" totalsRowShown="0" headerRowDxfId="32" dataDxfId="31" tableBorderDxfId="30">
  <autoFilter ref="B4:E17" xr:uid="{13794BCF-E335-489A-94F7-C2EAC364F596}">
    <filterColumn colId="0" hiddenButton="1"/>
    <filterColumn colId="1" hiddenButton="1"/>
    <filterColumn colId="2" hiddenButton="1"/>
    <filterColumn colId="3" hiddenButton="1"/>
  </autoFilter>
  <tableColumns count="4">
    <tableColumn id="1" xr3:uid="{AE5FCDAA-775D-4CE0-80C3-B8A8042D245F}" name="Expense Type" dataDxfId="29" totalsRowDxfId="28"/>
    <tableColumn id="2" xr3:uid="{93EA3AC1-BA5D-4458-80DB-7CC55130D791}" name="On Campus (Osgoode Chambers)" dataDxfId="27" totalsRowDxfId="26"/>
    <tableColumn id="3" xr3:uid="{623264D2-1843-40D9-A000-B578C44D2F12}" name="Off Campus" dataDxfId="25" totalsRowDxfId="24"/>
    <tableColumn id="4" xr3:uid="{6FBDBE54-A4CD-4397-A91B-E32F3CD61654}" name="At Home with Family" dataDxfId="23" totalsRowDxfId="22"/>
  </tableColumns>
  <tableStyleInfo name="TableStyleLight1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F1954C7-0CA0-4FB5-83D4-25C24A9D4D0C}" name="Table1113" displayName="Table1113" ref="B20:E33" totalsRowShown="0" headerRowDxfId="21" dataDxfId="20" tableBorderDxfId="19">
  <autoFilter ref="B20:E33" xr:uid="{EF1954C7-0CA0-4FB5-83D4-25C24A9D4D0C}">
    <filterColumn colId="0" hiddenButton="1"/>
    <filterColumn colId="1" hiddenButton="1"/>
    <filterColumn colId="2" hiddenButton="1"/>
    <filterColumn colId="3" hiddenButton="1"/>
  </autoFilter>
  <tableColumns count="4">
    <tableColumn id="1" xr3:uid="{C563EDAB-1620-4D99-A544-579F558F5EEA}" name="Expense Type" dataDxfId="18" totalsRowDxfId="17"/>
    <tableColumn id="2" xr3:uid="{4829A217-ED93-44FA-9376-F4FA5BE2A47F}" name="On Campus (Osgoode Chambers)" dataDxfId="16" totalsRowDxfId="15"/>
    <tableColumn id="3" xr3:uid="{783BDC01-A5B2-423F-BA99-31A9D698121A}" name="Off Campus" dataDxfId="14" totalsRowDxfId="13"/>
    <tableColumn id="4" xr3:uid="{4D1F99A5-4DAE-4E6C-9D47-6455E8A39B5F}" name="At Home with Family" dataDxfId="12" totalsRowDxfId="11"/>
  </tableColumns>
  <tableStyleInfo name="TableStyleLight1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3EBAC6A-3306-4BBC-86B3-43746A190DF7}" name="Table111314" displayName="Table111314" ref="B36:E49" totalsRowShown="0" headerRowDxfId="10" dataDxfId="9" tableBorderDxfId="8">
  <autoFilter ref="B36:E49" xr:uid="{A3EBAC6A-3306-4BBC-86B3-43746A190DF7}">
    <filterColumn colId="0" hiddenButton="1"/>
    <filterColumn colId="1" hiddenButton="1"/>
    <filterColumn colId="2" hiddenButton="1"/>
    <filterColumn colId="3" hiddenButton="1"/>
  </autoFilter>
  <tableColumns count="4">
    <tableColumn id="1" xr3:uid="{23D24E34-F63A-46AD-9D34-3AE0E120B5EB}" name="Expense Type" dataDxfId="7" totalsRowDxfId="6"/>
    <tableColumn id="2" xr3:uid="{2CE50842-BCCC-45E2-9014-2DACAC5A6D29}" name="On Campus (Osgoode Chambers)" dataDxfId="5" totalsRowDxfId="4"/>
    <tableColumn id="3" xr3:uid="{A2674247-D98E-4776-8303-3813A84625C1}" name="Off Campus" dataDxfId="3" totalsRowDxfId="2"/>
    <tableColumn id="4" xr3:uid="{A6F94349-5B9E-43AC-8282-0B2950745AC0}" name="At Home with Family" dataDxfId="1" totalsRowDxfId="0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Vacation Light 3">
      <a:dk1>
        <a:srgbClr val="000000"/>
      </a:dk1>
      <a:lt1>
        <a:srgbClr val="FFFFFF"/>
      </a:lt1>
      <a:dk2>
        <a:srgbClr val="C5F9E3"/>
      </a:dk2>
      <a:lt2>
        <a:srgbClr val="E7E6E6"/>
      </a:lt2>
      <a:accent1>
        <a:srgbClr val="DBFBE8"/>
      </a:accent1>
      <a:accent2>
        <a:srgbClr val="C8F2FF"/>
      </a:accent2>
      <a:accent3>
        <a:srgbClr val="FBE4E0"/>
      </a:accent3>
      <a:accent4>
        <a:srgbClr val="F5EDC1"/>
      </a:accent4>
      <a:accent5>
        <a:srgbClr val="FAD9EF"/>
      </a:accent5>
      <a:accent6>
        <a:srgbClr val="F1D5D0"/>
      </a:accent6>
      <a:hlink>
        <a:srgbClr val="0563C1"/>
      </a:hlink>
      <a:folHlink>
        <a:srgbClr val="954F72"/>
      </a:folHlink>
    </a:clrScheme>
    <a:fontScheme name="Custom 51">
      <a:majorFont>
        <a:latin typeface="Daytona Condensed"/>
        <a:ea typeface=""/>
        <a:cs typeface=""/>
      </a:majorFont>
      <a:minorFont>
        <a:latin typeface="Arial Nov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B59D1-ADC8-457D-89A0-7B7D0ECE182C}">
  <sheetPr codeName="Sheet1">
    <tabColor rgb="FFE31837"/>
    <pageSetUpPr fitToPage="1"/>
  </sheetPr>
  <dimension ref="B1:I21"/>
  <sheetViews>
    <sheetView showGridLines="0" tabSelected="1" zoomScaleNormal="100" zoomScalePageLayoutView="55" workbookViewId="0">
      <selection activeCell="J6" sqref="J6"/>
    </sheetView>
  </sheetViews>
  <sheetFormatPr defaultColWidth="8.875" defaultRowHeight="22.15" customHeight="1" x14ac:dyDescent="0.2"/>
  <cols>
    <col min="1" max="1" width="1.875" style="4" customWidth="1"/>
    <col min="2" max="2" width="26.625" style="4" customWidth="1"/>
    <col min="3" max="3" width="26.625" style="5" customWidth="1"/>
    <col min="4" max="4" width="24.75" style="5" customWidth="1"/>
    <col min="5" max="5" width="24.375" style="5" customWidth="1"/>
    <col min="6" max="6" width="26.625" style="5" customWidth="1"/>
    <col min="7" max="7" width="31.875" style="4" customWidth="1"/>
    <col min="8" max="8" width="1.75" style="4" customWidth="1"/>
    <col min="9" max="16384" width="8.875" style="4"/>
  </cols>
  <sheetData>
    <row r="1" spans="2:9" s="1" customFormat="1" ht="75" customHeight="1" x14ac:dyDescent="0.2">
      <c r="B1" s="89" t="s">
        <v>51</v>
      </c>
      <c r="C1" s="89"/>
      <c r="D1" s="89"/>
      <c r="E1" s="89"/>
      <c r="F1" s="89"/>
      <c r="G1" s="89"/>
    </row>
    <row r="2" spans="2:9" s="10" customFormat="1" ht="30" customHeight="1" x14ac:dyDescent="0.2">
      <c r="B2" s="9"/>
      <c r="C2" s="9"/>
      <c r="D2" s="9"/>
      <c r="E2" s="9"/>
      <c r="F2" s="9"/>
    </row>
    <row r="3" spans="2:9" s="2" customFormat="1" ht="30" customHeight="1" x14ac:dyDescent="0.2">
      <c r="B3" s="90" t="s">
        <v>22</v>
      </c>
      <c r="C3" s="90"/>
      <c r="D3" s="90"/>
      <c r="E3" s="90"/>
      <c r="F3" s="90"/>
      <c r="G3" s="90"/>
    </row>
    <row r="4" spans="2:9" s="3" customFormat="1" ht="30" customHeight="1" x14ac:dyDescent="0.25">
      <c r="B4" s="87" t="s">
        <v>60</v>
      </c>
      <c r="C4" s="87"/>
      <c r="D4" s="87"/>
      <c r="E4" s="87"/>
      <c r="F4" s="87"/>
      <c r="G4" s="87"/>
    </row>
    <row r="5" spans="2:9" ht="30" customHeight="1" x14ac:dyDescent="0.2">
      <c r="B5" s="88" t="s">
        <v>134</v>
      </c>
      <c r="C5" s="88"/>
      <c r="D5" s="88"/>
      <c r="E5" s="88"/>
      <c r="F5" s="88"/>
      <c r="G5" s="88"/>
    </row>
    <row r="6" spans="2:9" ht="30" customHeight="1" x14ac:dyDescent="0.2">
      <c r="B6" s="91" t="s">
        <v>140</v>
      </c>
      <c r="C6" s="91"/>
      <c r="D6" s="91"/>
      <c r="E6" s="91"/>
      <c r="F6" s="91"/>
      <c r="G6" s="91"/>
    </row>
    <row r="7" spans="2:9" ht="30" customHeight="1" x14ac:dyDescent="0.2">
      <c r="B7" s="91"/>
      <c r="C7" s="91"/>
      <c r="D7" s="91"/>
      <c r="E7" s="91"/>
      <c r="F7" s="91"/>
      <c r="G7" s="91"/>
    </row>
    <row r="8" spans="2:9" ht="30" customHeight="1" x14ac:dyDescent="0.2">
      <c r="B8" s="18" t="s">
        <v>23</v>
      </c>
      <c r="C8" s="18"/>
      <c r="D8" s="18"/>
      <c r="E8" s="18"/>
      <c r="F8" s="18" t="s">
        <v>27</v>
      </c>
      <c r="G8" s="18"/>
    </row>
    <row r="9" spans="2:9" ht="30" customHeight="1" x14ac:dyDescent="0.2">
      <c r="B9" s="85" t="s">
        <v>125</v>
      </c>
      <c r="C9" s="85"/>
      <c r="D9" s="85"/>
      <c r="E9" s="85"/>
      <c r="F9" s="88" t="s">
        <v>127</v>
      </c>
      <c r="G9" s="88"/>
    </row>
    <row r="10" spans="2:9" ht="30" customHeight="1" x14ac:dyDescent="0.2">
      <c r="B10" s="85" t="s">
        <v>26</v>
      </c>
      <c r="C10" s="85"/>
      <c r="D10" s="85"/>
      <c r="E10" s="85"/>
      <c r="F10" s="88" t="s">
        <v>128</v>
      </c>
      <c r="G10" s="88"/>
    </row>
    <row r="11" spans="2:9" ht="30" customHeight="1" x14ac:dyDescent="0.2">
      <c r="B11" s="85" t="s">
        <v>24</v>
      </c>
      <c r="C11" s="85"/>
      <c r="D11" s="85"/>
      <c r="E11" s="85"/>
      <c r="F11" s="88" t="s">
        <v>28</v>
      </c>
      <c r="G11" s="88"/>
    </row>
    <row r="12" spans="2:9" ht="30" customHeight="1" x14ac:dyDescent="0.2">
      <c r="B12" s="85" t="s">
        <v>25</v>
      </c>
      <c r="C12" s="85"/>
      <c r="D12" s="85"/>
      <c r="E12" s="85"/>
      <c r="F12" s="88" t="s">
        <v>29</v>
      </c>
      <c r="G12" s="88"/>
    </row>
    <row r="13" spans="2:9" ht="30" customHeight="1" x14ac:dyDescent="0.2">
      <c r="B13" s="85" t="s">
        <v>126</v>
      </c>
      <c r="C13" s="85"/>
      <c r="D13" s="85"/>
      <c r="E13" s="85"/>
      <c r="F13" s="88"/>
      <c r="G13" s="88"/>
      <c r="H13" s="2"/>
      <c r="I13" s="2"/>
    </row>
    <row r="14" spans="2:9" s="2" customFormat="1" ht="30" customHeight="1" x14ac:dyDescent="0.2">
      <c r="B14" s="85" t="s">
        <v>133</v>
      </c>
      <c r="C14" s="85"/>
      <c r="D14" s="85"/>
      <c r="E14" s="85"/>
      <c r="F14" s="19"/>
      <c r="G14" s="19"/>
      <c r="H14" s="3"/>
      <c r="I14" s="3"/>
    </row>
    <row r="15" spans="2:9" s="3" customFormat="1" ht="30" customHeight="1" x14ac:dyDescent="0.2">
      <c r="B15" s="86" t="s">
        <v>139</v>
      </c>
      <c r="C15" s="86"/>
      <c r="D15" s="86"/>
      <c r="E15" s="86"/>
      <c r="F15" s="86"/>
      <c r="G15" s="86"/>
      <c r="H15" s="4"/>
      <c r="I15" s="4"/>
    </row>
    <row r="16" spans="2:9" ht="30" customHeight="1" x14ac:dyDescent="0.2">
      <c r="B16" s="86"/>
      <c r="C16" s="86"/>
      <c r="D16" s="86"/>
      <c r="E16" s="86"/>
      <c r="F16" s="86"/>
      <c r="G16" s="86"/>
    </row>
    <row r="17" spans="2:6" ht="30" customHeight="1" x14ac:dyDescent="0.2">
      <c r="B17" s="18"/>
      <c r="C17" s="4"/>
      <c r="D17" s="4"/>
      <c r="E17" s="4"/>
      <c r="F17" s="4"/>
    </row>
    <row r="18" spans="2:6" ht="30" customHeight="1" x14ac:dyDescent="0.2">
      <c r="B18" s="20"/>
      <c r="C18" s="4"/>
      <c r="D18" s="4"/>
      <c r="E18" s="4"/>
      <c r="F18" s="4"/>
    </row>
    <row r="19" spans="2:6" ht="30" customHeight="1" x14ac:dyDescent="0.2"/>
    <row r="20" spans="2:6" ht="28.5" customHeight="1" x14ac:dyDescent="0.2"/>
    <row r="21" spans="2:6" ht="28.5" customHeight="1" x14ac:dyDescent="0.2">
      <c r="B21" s="20"/>
      <c r="C21" s="4"/>
      <c r="D21" s="4"/>
      <c r="E21" s="4"/>
    </row>
  </sheetData>
  <sheetProtection algorithmName="SHA-512" hashValue="hJctHoPA3WBa0rZAquMXEdF2XGN+UqQrCA7gVRMqXev0ve8GF+twyU5yzGZi/qQbUGzfEF3Pqx5EU7ca8T0udQ==" saltValue="fiX1dC1LAuEWuhN+sQnZ/A==" spinCount="100000" sheet="1" objects="1" scenarios="1" selectLockedCells="1" selectUnlockedCells="1"/>
  <mergeCells count="17">
    <mergeCell ref="B12:E12"/>
    <mergeCell ref="B13:E13"/>
    <mergeCell ref="B15:G16"/>
    <mergeCell ref="B4:G4"/>
    <mergeCell ref="B5:G5"/>
    <mergeCell ref="B1:G1"/>
    <mergeCell ref="B3:G3"/>
    <mergeCell ref="B6:G7"/>
    <mergeCell ref="B9:E9"/>
    <mergeCell ref="F9:G9"/>
    <mergeCell ref="F10:G10"/>
    <mergeCell ref="F11:G11"/>
    <mergeCell ref="F12:G12"/>
    <mergeCell ref="F13:G13"/>
    <mergeCell ref="B14:E14"/>
    <mergeCell ref="B10:E10"/>
    <mergeCell ref="B11:E11"/>
  </mergeCells>
  <dataValidations count="1">
    <dataValidation allowBlank="1" showInputMessage="1" showErrorMessage="1" promptTitle="Vacation Budget Planner" prompt="_x000a_This spreadsheet will help you plan your budget for your next vacation._x000a__x000a_Simply fill in:_x000a_* Budget per Category, and _x000a_* Expenses Details" sqref="A1" xr:uid="{7BBAF8E2-0F95-4E5D-A6AF-19A12815A24A}"/>
  </dataValidations>
  <pageMargins left="0.7" right="0.7" top="0.75" bottom="0.75" header="0.3" footer="0.3"/>
  <pageSetup scale="57" orientation="portrait" horizontalDpi="4294967293" r:id="rId1"/>
  <headerFooter>
    <oddHeader>&amp;C&amp;"+,Regular"&amp;24&amp;K04-049Vacation Budget Planner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E31837"/>
    <pageSetUpPr fitToPage="1"/>
  </sheetPr>
  <dimension ref="B1:G38"/>
  <sheetViews>
    <sheetView showGridLines="0" zoomScaleNormal="100" zoomScalePageLayoutView="55" workbookViewId="0">
      <selection activeCell="E6" sqref="E6"/>
    </sheetView>
  </sheetViews>
  <sheetFormatPr defaultColWidth="8.875" defaultRowHeight="22.15" customHeight="1" x14ac:dyDescent="0.2"/>
  <cols>
    <col min="1" max="1" width="1.875" style="4" customWidth="1"/>
    <col min="2" max="2" width="30.875" style="4" customWidth="1"/>
    <col min="3" max="6" width="25.875" style="5" customWidth="1"/>
    <col min="7" max="7" width="26.25" style="4" customWidth="1"/>
    <col min="8" max="8" width="1.75" style="4" customWidth="1"/>
    <col min="9" max="16384" width="8.875" style="4"/>
  </cols>
  <sheetData>
    <row r="1" spans="2:7" s="1" customFormat="1" ht="75" customHeight="1" x14ac:dyDescent="0.2">
      <c r="B1" s="89" t="s">
        <v>30</v>
      </c>
      <c r="C1" s="89"/>
      <c r="D1" s="89"/>
      <c r="E1" s="89"/>
      <c r="F1" s="89"/>
      <c r="G1" s="89"/>
    </row>
    <row r="2" spans="2:7" s="10" customFormat="1" ht="30" customHeight="1" x14ac:dyDescent="0.2">
      <c r="B2" s="9"/>
      <c r="C2" s="9"/>
      <c r="D2" s="9"/>
      <c r="E2" s="9"/>
      <c r="F2" s="9"/>
    </row>
    <row r="3" spans="2:7" ht="30" customHeight="1" x14ac:dyDescent="0.2">
      <c r="B3" s="92" t="s">
        <v>135</v>
      </c>
      <c r="C3" s="92"/>
      <c r="D3" s="92"/>
      <c r="E3" s="92"/>
    </row>
    <row r="4" spans="2:7" ht="30" customHeight="1" x14ac:dyDescent="0.2">
      <c r="C4" s="3"/>
    </row>
    <row r="5" spans="2:7" ht="30" customHeight="1" x14ac:dyDescent="0.2">
      <c r="B5" s="21" t="s">
        <v>52</v>
      </c>
      <c r="C5" s="25">
        <v>1</v>
      </c>
      <c r="D5" s="22"/>
    </row>
    <row r="6" spans="2:7" ht="30" customHeight="1" x14ac:dyDescent="0.2">
      <c r="B6" s="21"/>
      <c r="C6" s="3"/>
      <c r="D6" s="22"/>
    </row>
    <row r="7" spans="2:7" ht="30" customHeight="1" x14ac:dyDescent="0.2">
      <c r="B7" s="21" t="s">
        <v>31</v>
      </c>
      <c r="C7" s="25">
        <v>1</v>
      </c>
      <c r="D7" s="22"/>
    </row>
    <row r="8" spans="2:7" ht="30" customHeight="1" x14ac:dyDescent="0.2">
      <c r="B8" s="21"/>
      <c r="C8" s="3"/>
      <c r="D8" s="22"/>
    </row>
    <row r="9" spans="2:7" ht="30" customHeight="1" x14ac:dyDescent="0.2">
      <c r="B9" s="21" t="s">
        <v>36</v>
      </c>
      <c r="C9" s="25">
        <v>1</v>
      </c>
      <c r="D9" s="22"/>
    </row>
    <row r="10" spans="2:7" ht="30" customHeight="1" x14ac:dyDescent="0.2">
      <c r="B10" s="18"/>
      <c r="C10" s="3"/>
      <c r="D10" s="22"/>
    </row>
    <row r="11" spans="2:7" ht="30" customHeight="1" x14ac:dyDescent="0.2">
      <c r="B11" s="93" t="s">
        <v>119</v>
      </c>
      <c r="C11" s="93"/>
      <c r="D11" s="93"/>
      <c r="E11" s="93"/>
    </row>
    <row r="12" spans="2:7" ht="30" customHeight="1" x14ac:dyDescent="0.2">
      <c r="B12" s="93"/>
      <c r="C12" s="93"/>
      <c r="D12" s="93"/>
      <c r="E12" s="93"/>
    </row>
    <row r="13" spans="2:7" ht="30" customHeight="1" x14ac:dyDescent="0.2"/>
    <row r="14" spans="2:7" ht="30" customHeight="1" x14ac:dyDescent="0.2">
      <c r="B14" s="23" t="s">
        <v>32</v>
      </c>
      <c r="C14" s="24" t="s">
        <v>37</v>
      </c>
      <c r="D14" s="24" t="s">
        <v>39</v>
      </c>
    </row>
    <row r="15" spans="2:7" ht="30" customHeight="1" x14ac:dyDescent="0.2">
      <c r="B15" s="24" t="s">
        <v>33</v>
      </c>
      <c r="C15" s="24" t="s">
        <v>38</v>
      </c>
      <c r="D15" s="24" t="s">
        <v>40</v>
      </c>
    </row>
    <row r="16" spans="2:7" ht="30" customHeight="1" x14ac:dyDescent="0.2">
      <c r="B16" s="24" t="s">
        <v>34</v>
      </c>
      <c r="C16" s="24" t="s">
        <v>35</v>
      </c>
      <c r="D16" s="24" t="s">
        <v>41</v>
      </c>
    </row>
    <row r="17" spans="2:2" ht="30" customHeight="1" x14ac:dyDescent="0.2">
      <c r="B17" s="3"/>
    </row>
    <row r="18" spans="2:2" ht="30" customHeight="1" x14ac:dyDescent="0.2"/>
    <row r="19" spans="2:2" ht="30" customHeight="1" x14ac:dyDescent="0.2"/>
    <row r="20" spans="2:2" ht="30" customHeight="1" x14ac:dyDescent="0.2"/>
    <row r="21" spans="2:2" ht="30" customHeight="1" x14ac:dyDescent="0.2"/>
    <row r="22" spans="2:2" ht="30" customHeight="1" x14ac:dyDescent="0.2"/>
    <row r="23" spans="2:2" ht="30" customHeight="1" x14ac:dyDescent="0.2"/>
    <row r="24" spans="2:2" ht="30" customHeight="1" x14ac:dyDescent="0.2"/>
    <row r="25" spans="2:2" ht="30" customHeight="1" x14ac:dyDescent="0.2"/>
    <row r="26" spans="2:2" ht="30" customHeight="1" x14ac:dyDescent="0.2"/>
    <row r="27" spans="2:2" ht="30" customHeight="1" x14ac:dyDescent="0.2"/>
    <row r="28" spans="2:2" ht="30" customHeight="1" x14ac:dyDescent="0.2"/>
    <row r="29" spans="2:2" ht="30" customHeight="1" x14ac:dyDescent="0.2"/>
    <row r="30" spans="2:2" ht="30" customHeight="1" x14ac:dyDescent="0.2"/>
    <row r="31" spans="2:2" ht="30" customHeight="1" x14ac:dyDescent="0.2"/>
    <row r="32" spans="2:2" ht="30" customHeight="1" x14ac:dyDescent="0.2"/>
    <row r="33" ht="30" customHeight="1" x14ac:dyDescent="0.2"/>
    <row r="34" ht="30" customHeight="1" x14ac:dyDescent="0.2"/>
    <row r="35" ht="30" customHeight="1" x14ac:dyDescent="0.2"/>
    <row r="36" ht="30" customHeight="1" x14ac:dyDescent="0.2"/>
    <row r="37" ht="30" customHeight="1" x14ac:dyDescent="0.2"/>
    <row r="38" ht="30" customHeight="1" x14ac:dyDescent="0.2"/>
  </sheetData>
  <sheetProtection algorithmName="SHA-512" hashValue="cNR97s2iyvlJpsAuZDCrvT3ojtybv0GL5+O3eiDjk+lqaHwrmUZBZ+lYjRddmNhbgYsmLd2TU0Ag+mQDcCwJYg==" saltValue="U5BPWn6+F3Lc0lVEkafs7A==" spinCount="100000" sheet="1" objects="1" formatCells="0" selectLockedCells="1" selectUnlockedCells="1"/>
  <mergeCells count="3">
    <mergeCell ref="B1:G1"/>
    <mergeCell ref="B3:E3"/>
    <mergeCell ref="B11:E12"/>
  </mergeCells>
  <dataValidations count="1">
    <dataValidation allowBlank="1" showInputMessage="1" showErrorMessage="1" promptTitle="Vacation Budget Planner" prompt="_x000a_This spreadsheet will help you plan your budget for your next vacation._x000a__x000a_Simply fill in:_x000a_* Budget per Category, and _x000a_* Expenses Details" sqref="A1" xr:uid="{59DBA85E-7CE9-4BA0-AED0-E65668D7FBF9}"/>
  </dataValidations>
  <pageMargins left="0.7" right="0.7" top="0.75" bottom="0.75" header="0.3" footer="0.3"/>
  <pageSetup scale="46" orientation="portrait" horizontalDpi="4294967293" r:id="rId1"/>
  <headerFooter>
    <oddHeader>&amp;C&amp;"+,Regular"&amp;24&amp;K04-049Vacation Budget Planner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4" name="Drop Down 9">
              <controlPr defaultSize="0" autoLine="0" autoPict="0" altText="">
                <anchor moveWithCells="1">
                  <from>
                    <xdr:col>2</xdr:col>
                    <xdr:colOff>47625</xdr:colOff>
                    <xdr:row>4</xdr:row>
                    <xdr:rowOff>57150</xdr:rowOff>
                  </from>
                  <to>
                    <xdr:col>3</xdr:col>
                    <xdr:colOff>47625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Drop Down 8">
              <controlPr defaultSize="0" autoLine="0" autoPict="0" macro="[0]!ValidateStudentHousing" altText="">
                <anchor moveWithCells="1">
                  <from>
                    <xdr:col>2</xdr:col>
                    <xdr:colOff>47625</xdr:colOff>
                    <xdr:row>6</xdr:row>
                    <xdr:rowOff>57150</xdr:rowOff>
                  </from>
                  <to>
                    <xdr:col>3</xdr:col>
                    <xdr:colOff>47625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Drop Down 5">
              <controlPr defaultSize="0" autoLine="0" autoPict="0" macro="[0]!ValidateStudentHousing" altText="">
                <anchor moveWithCells="1">
                  <from>
                    <xdr:col>2</xdr:col>
                    <xdr:colOff>57150</xdr:colOff>
                    <xdr:row>8</xdr:row>
                    <xdr:rowOff>57150</xdr:rowOff>
                  </from>
                  <to>
                    <xdr:col>3</xdr:col>
                    <xdr:colOff>57150</xdr:colOff>
                    <xdr:row>8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7F502-BAE8-4246-BED2-ADC976623670}">
  <sheetPr codeName="Sheet3">
    <tabColor rgb="FFE31837"/>
    <pageSetUpPr fitToPage="1"/>
  </sheetPr>
  <dimension ref="B1:G57"/>
  <sheetViews>
    <sheetView showGridLines="0" zoomScaleNormal="100" zoomScalePageLayoutView="55" workbookViewId="0">
      <selection activeCell="C7" sqref="C7"/>
    </sheetView>
  </sheetViews>
  <sheetFormatPr defaultColWidth="8.875" defaultRowHeight="22.15" customHeight="1" x14ac:dyDescent="0.2"/>
  <cols>
    <col min="1" max="1" width="1.875" style="4" customWidth="1"/>
    <col min="2" max="2" width="63.375" style="4" customWidth="1"/>
    <col min="3" max="3" width="14.75" style="5" customWidth="1"/>
    <col min="4" max="4" width="15" style="5" customWidth="1"/>
    <col min="5" max="5" width="15.75" style="5" customWidth="1"/>
    <col min="6" max="6" width="25.875" style="5" customWidth="1"/>
    <col min="7" max="7" width="25.875" style="4" customWidth="1"/>
    <col min="8" max="8" width="1.75" style="4" customWidth="1"/>
    <col min="9" max="16384" width="8.875" style="4"/>
  </cols>
  <sheetData>
    <row r="1" spans="2:7" s="1" customFormat="1" ht="75" customHeight="1" x14ac:dyDescent="0.2">
      <c r="B1" s="89" t="s">
        <v>54</v>
      </c>
      <c r="C1" s="89"/>
      <c r="D1" s="89"/>
      <c r="E1" s="89"/>
      <c r="F1" s="89"/>
      <c r="G1" s="89"/>
    </row>
    <row r="2" spans="2:7" s="10" customFormat="1" ht="30" customHeight="1" x14ac:dyDescent="0.2">
      <c r="B2" s="9"/>
      <c r="C2" s="9"/>
      <c r="D2" s="9"/>
      <c r="E2" s="9"/>
      <c r="F2" s="9"/>
    </row>
    <row r="3" spans="2:7" s="2" customFormat="1" ht="30" customHeight="1" x14ac:dyDescent="0.2">
      <c r="B3" s="92" t="s">
        <v>136</v>
      </c>
      <c r="C3" s="92"/>
      <c r="D3" s="92"/>
      <c r="E3" s="92"/>
    </row>
    <row r="4" spans="2:7" s="3" customFormat="1" ht="30" customHeight="1" x14ac:dyDescent="0.2">
      <c r="B4" s="4"/>
      <c r="C4" s="5"/>
      <c r="E4" s="5"/>
    </row>
    <row r="5" spans="2:7" ht="30" customHeight="1" x14ac:dyDescent="0.2">
      <c r="B5" s="21" t="s">
        <v>43</v>
      </c>
      <c r="C5" s="44" t="s">
        <v>124</v>
      </c>
      <c r="F5" s="4"/>
    </row>
    <row r="6" spans="2:7" ht="30" customHeight="1" x14ac:dyDescent="0.2">
      <c r="B6" s="21" t="s">
        <v>88</v>
      </c>
      <c r="C6" s="44" t="s">
        <v>124</v>
      </c>
      <c r="F6" s="4"/>
    </row>
    <row r="7" spans="2:7" ht="30" customHeight="1" x14ac:dyDescent="0.2">
      <c r="B7" s="21" t="s">
        <v>46</v>
      </c>
      <c r="C7" s="44" t="s">
        <v>124</v>
      </c>
      <c r="F7" s="4"/>
    </row>
    <row r="8" spans="2:7" ht="30" customHeight="1" x14ac:dyDescent="0.2">
      <c r="B8" s="21" t="s">
        <v>44</v>
      </c>
      <c r="C8" s="44" t="s">
        <v>124</v>
      </c>
      <c r="F8" s="4"/>
    </row>
    <row r="9" spans="2:7" ht="30" customHeight="1" x14ac:dyDescent="0.2">
      <c r="B9" s="21" t="s">
        <v>42</v>
      </c>
      <c r="C9" s="44" t="s">
        <v>124</v>
      </c>
      <c r="F9" s="4"/>
    </row>
    <row r="10" spans="2:7" ht="30" customHeight="1" x14ac:dyDescent="0.2">
      <c r="B10" s="21" t="s">
        <v>45</v>
      </c>
      <c r="C10" s="44" t="s">
        <v>124</v>
      </c>
      <c r="F10" s="4"/>
    </row>
    <row r="11" spans="2:7" ht="30" customHeight="1" thickBot="1" x14ac:dyDescent="0.25">
      <c r="B11" s="21" t="s">
        <v>47</v>
      </c>
      <c r="C11" s="45" t="s">
        <v>124</v>
      </c>
      <c r="F11" s="4"/>
    </row>
    <row r="12" spans="2:7" ht="30" customHeight="1" thickTop="1" x14ac:dyDescent="0.2">
      <c r="B12" s="21" t="s">
        <v>62</v>
      </c>
      <c r="C12" s="31">
        <f>IF($C$5="Enter Value",SUM($C$6:$C$11),$C$5*8+SUM($C$6:$C$11))</f>
        <v>0</v>
      </c>
      <c r="F12" s="4"/>
    </row>
    <row r="13" spans="2:7" ht="30" customHeight="1" x14ac:dyDescent="0.2">
      <c r="C13" s="26"/>
      <c r="E13" s="4"/>
      <c r="F13" s="4"/>
    </row>
    <row r="14" spans="2:7" ht="30" customHeight="1" x14ac:dyDescent="0.2">
      <c r="B14" s="93" t="s">
        <v>48</v>
      </c>
      <c r="C14" s="93"/>
      <c r="D14" s="93"/>
      <c r="E14" s="93"/>
      <c r="F14" s="4"/>
    </row>
    <row r="15" spans="2:7" ht="30" customHeight="1" x14ac:dyDescent="0.2">
      <c r="B15" s="93"/>
      <c r="C15" s="93"/>
      <c r="D15" s="93"/>
      <c r="E15" s="93"/>
      <c r="F15" s="4"/>
    </row>
    <row r="16" spans="2:7" s="2" customFormat="1" ht="30" customHeight="1" x14ac:dyDescent="0.2">
      <c r="C16" s="26"/>
    </row>
    <row r="17" spans="3:6" s="3" customFormat="1" ht="30" customHeight="1" x14ac:dyDescent="0.2">
      <c r="C17" s="26"/>
    </row>
    <row r="18" spans="3:6" ht="30" customHeight="1" x14ac:dyDescent="0.2">
      <c r="C18" s="26"/>
      <c r="F18" s="4"/>
    </row>
    <row r="19" spans="3:6" ht="30" customHeight="1" x14ac:dyDescent="0.2">
      <c r="F19" s="4"/>
    </row>
    <row r="20" spans="3:6" ht="30" customHeight="1" x14ac:dyDescent="0.2">
      <c r="C20" s="4"/>
      <c r="D20" s="4"/>
      <c r="E20" s="4"/>
      <c r="F20" s="4"/>
    </row>
    <row r="21" spans="3:6" ht="30" customHeight="1" x14ac:dyDescent="0.2">
      <c r="C21" s="4"/>
      <c r="D21" s="4"/>
      <c r="E21" s="4"/>
      <c r="F21" s="4"/>
    </row>
    <row r="22" spans="3:6" ht="30" customHeight="1" x14ac:dyDescent="0.2">
      <c r="C22" s="4"/>
      <c r="D22" s="4"/>
      <c r="E22" s="4"/>
      <c r="F22" s="4"/>
    </row>
    <row r="23" spans="3:6" ht="30" customHeight="1" x14ac:dyDescent="0.2">
      <c r="C23" s="4"/>
      <c r="D23" s="4"/>
      <c r="E23" s="4"/>
      <c r="F23" s="4"/>
    </row>
    <row r="24" spans="3:6" ht="30" customHeight="1" x14ac:dyDescent="0.2">
      <c r="C24" s="4"/>
      <c r="D24" s="4"/>
      <c r="E24" s="4"/>
      <c r="F24" s="4"/>
    </row>
    <row r="25" spans="3:6" ht="30" customHeight="1" x14ac:dyDescent="0.2"/>
    <row r="26" spans="3:6" ht="30" customHeight="1" x14ac:dyDescent="0.2"/>
    <row r="27" spans="3:6" ht="30" customHeight="1" x14ac:dyDescent="0.2"/>
    <row r="28" spans="3:6" ht="30" customHeight="1" x14ac:dyDescent="0.2"/>
    <row r="29" spans="3:6" ht="30" customHeight="1" x14ac:dyDescent="0.2"/>
    <row r="30" spans="3:6" ht="30" customHeight="1" x14ac:dyDescent="0.2"/>
    <row r="31" spans="3:6" ht="30" customHeight="1" x14ac:dyDescent="0.2"/>
    <row r="32" spans="3:6" ht="30" customHeight="1" x14ac:dyDescent="0.2"/>
    <row r="33" ht="30" customHeight="1" x14ac:dyDescent="0.2"/>
    <row r="34" ht="30" customHeight="1" x14ac:dyDescent="0.2"/>
    <row r="35" ht="30" customHeight="1" x14ac:dyDescent="0.2"/>
    <row r="36" ht="30" customHeight="1" x14ac:dyDescent="0.2"/>
    <row r="37" ht="30" customHeight="1" x14ac:dyDescent="0.2"/>
    <row r="38" ht="30" customHeight="1" x14ac:dyDescent="0.2"/>
    <row r="39" ht="30" customHeight="1" x14ac:dyDescent="0.2"/>
    <row r="40" ht="30" customHeight="1" x14ac:dyDescent="0.2"/>
    <row r="41" ht="30" customHeight="1" x14ac:dyDescent="0.2"/>
    <row r="42" ht="30" customHeight="1" x14ac:dyDescent="0.2"/>
    <row r="43" ht="30" customHeight="1" x14ac:dyDescent="0.2"/>
    <row r="44" ht="30" customHeight="1" x14ac:dyDescent="0.2"/>
    <row r="45" ht="30" customHeight="1" x14ac:dyDescent="0.2"/>
    <row r="46" ht="30" customHeight="1" x14ac:dyDescent="0.2"/>
    <row r="47" ht="30" customHeight="1" x14ac:dyDescent="0.2"/>
    <row r="48" ht="30" customHeight="1" x14ac:dyDescent="0.2"/>
    <row r="49" ht="30" customHeight="1" x14ac:dyDescent="0.2"/>
    <row r="50" ht="30" customHeight="1" x14ac:dyDescent="0.2"/>
    <row r="51" ht="30" customHeight="1" x14ac:dyDescent="0.2"/>
    <row r="52" ht="30" customHeight="1" x14ac:dyDescent="0.2"/>
    <row r="53" ht="30" customHeight="1" x14ac:dyDescent="0.2"/>
    <row r="54" ht="30" customHeight="1" x14ac:dyDescent="0.2"/>
    <row r="55" ht="30" customHeight="1" x14ac:dyDescent="0.2"/>
    <row r="56" ht="30" customHeight="1" x14ac:dyDescent="0.2"/>
    <row r="57" ht="30" customHeight="1" x14ac:dyDescent="0.2"/>
  </sheetData>
  <sheetProtection algorithmName="SHA-512" hashValue="ahCR42WDAKQ+OApcplm0VyX73usWMQkjgMSltQTwBmiBh1vns1E6DSMh8RQNVIxeRxee9/YCZ+c1K+vjp1IO7Q==" saltValue="19qyzxzVk9pGw9LLCq9nyw==" spinCount="100000" sheet="1" objects="1" selectLockedCells="1"/>
  <mergeCells count="3">
    <mergeCell ref="B14:E15"/>
    <mergeCell ref="B1:G1"/>
    <mergeCell ref="B3:E3"/>
  </mergeCells>
  <conditionalFormatting sqref="C5:C11">
    <cfRule type="expression" dxfId="80" priority="2">
      <formula>ISNUMBER(C5)</formula>
    </cfRule>
  </conditionalFormatting>
  <conditionalFormatting sqref="C5:C11">
    <cfRule type="expression" dxfId="79" priority="1">
      <formula>$C5="Enter Value"</formula>
    </cfRule>
  </conditionalFormatting>
  <dataValidations count="7">
    <dataValidation allowBlank="1" showInputMessage="1" showErrorMessage="1" promptTitle="Employment Income" prompt="Enter your estimated average monthly income from employment during the 8-month study period. Do not include one-time bonuses or income outside this timeframe." sqref="C5" xr:uid="{C0745A5F-12A3-48A7-9103-4F3FA8755B7C}"/>
    <dataValidation allowBlank="1" showInputMessage="1" showErrorMessage="1" promptTitle="Cash Savings" prompt="Enter the total cash savings you can use for school expenses. Do not include funds that are locked or inaccessible." sqref="C6" xr:uid="{2D6DA6BA-6330-4E8A-8A63-F6BC6CD7E129}"/>
    <dataValidation allowBlank="1" showInputMessage="1" showErrorMessage="1" promptTitle="Investments Available" prompt="Include only investments that can be liquidated for school expenses (e.g., TFSA, stocks, crypto). Do not include FHSA's or retirement accounts." sqref="C7" xr:uid="{8CC35761-D907-471A-8D4D-1D136A63D311}"/>
    <dataValidation allowBlank="1" showInputMessage="1" showErrorMessage="1" promptTitle="Family/Friends Contribution" prompt="Enter the total financial support you expect to receive from family or friends for this academic period." sqref="C8" xr:uid="{09C2FBD4-E643-42F5-AAFF-D12C89B631F7}"/>
    <dataValidation allowBlank="1" showInputMessage="1" showErrorMessage="1" promptTitle="Government Assistance" prompt="Enter the total amount of government loans or grants you expect to receive for this academic period." sqref="C9" xr:uid="{076DA424-22CC-4A98-8591-9AD2C0549014}"/>
    <dataValidation allowBlank="1" showInputMessage="1" showErrorMessage="1" promptTitle="Scholarships/Awards" prompt="Enter the total value of scholarships, bursaries, or awards you have secured for this academic year." sqref="C10" xr:uid="{D2891CF8-3CF1-4BE8-AEF1-C5C5933ABF2D}"/>
    <dataValidation allowBlank="1" showInputMessage="1" showErrorMessage="1" promptTitle="Other Income" prompt="Include any other sources of income (e.g., tutoring, part-time gigs, stipends) that will contribute to your school expenses. List the 8-month total value. Do not include loans or funds already listed above." sqref="C11" xr:uid="{392A9FC9-796D-4685-8B0C-66DD22ABA307}"/>
  </dataValidations>
  <pageMargins left="0.7" right="0.7" top="0.75" bottom="0.75" header="0.3" footer="0.3"/>
  <pageSetup scale="57" orientation="portrait" horizontalDpi="4294967293" verticalDpi="0" r:id="rId1"/>
  <headerFooter>
    <oddHeader>&amp;C&amp;"+,Regular"&amp;24&amp;K04-049Vacation Budget Planner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CA958-A519-4D49-A799-B9323987EFDE}">
  <sheetPr codeName="Sheet4">
    <tabColor rgb="FFE31837"/>
    <pageSetUpPr fitToPage="1"/>
  </sheetPr>
  <dimension ref="B1:G57"/>
  <sheetViews>
    <sheetView showGridLines="0" zoomScaleNormal="100" zoomScalePageLayoutView="55" workbookViewId="0">
      <selection activeCell="C8" sqref="C8"/>
    </sheetView>
  </sheetViews>
  <sheetFormatPr defaultColWidth="8.875" defaultRowHeight="22.15" customHeight="1" x14ac:dyDescent="0.2"/>
  <cols>
    <col min="1" max="1" width="1.875" style="4" customWidth="1"/>
    <col min="2" max="2" width="34.5" style="4" customWidth="1"/>
    <col min="3" max="4" width="25.875" style="5" customWidth="1"/>
    <col min="5" max="5" width="22.875" style="5" customWidth="1"/>
    <col min="6" max="6" width="25.875" style="5" customWidth="1"/>
    <col min="7" max="7" width="25.625" style="4" customWidth="1"/>
    <col min="8" max="8" width="1.75" style="4" customWidth="1"/>
    <col min="9" max="16384" width="8.875" style="4"/>
  </cols>
  <sheetData>
    <row r="1" spans="2:7" s="1" customFormat="1" ht="75" customHeight="1" x14ac:dyDescent="0.2">
      <c r="B1" s="89" t="s">
        <v>53</v>
      </c>
      <c r="C1" s="89"/>
      <c r="D1" s="89"/>
      <c r="E1" s="89"/>
      <c r="F1" s="89"/>
      <c r="G1" s="89"/>
    </row>
    <row r="2" spans="2:7" s="10" customFormat="1" ht="30" customHeight="1" x14ac:dyDescent="0.2"/>
    <row r="3" spans="2:7" s="2" customFormat="1" ht="30" customHeight="1" x14ac:dyDescent="0.2">
      <c r="B3" s="92" t="s">
        <v>137</v>
      </c>
      <c r="C3" s="92"/>
      <c r="D3" s="92"/>
      <c r="E3" s="92"/>
    </row>
    <row r="4" spans="2:7" s="3" customFormat="1" ht="30" customHeight="1" x14ac:dyDescent="0.2">
      <c r="B4" s="12" t="s">
        <v>55</v>
      </c>
      <c r="C4" s="46" t="s">
        <v>49</v>
      </c>
      <c r="D4" s="11" t="s">
        <v>50</v>
      </c>
    </row>
    <row r="5" spans="2:7" ht="30" customHeight="1" x14ac:dyDescent="0.2">
      <c r="B5" s="13" t="s">
        <v>9</v>
      </c>
      <c r="C5" s="43" t="s">
        <v>124</v>
      </c>
      <c r="D5" s="16" cm="1">
        <f t="array" ref="D5">_xlfn.LET(_xlpm.statusIdx,Background!$C$7,_xlpm.housingIdx,Background!$C$9,_xlpm.rowLabels,CHOOSE(_xlpm.statusIdx,'Budgeting Tables'!$B$5:$B$16,'Budgeting Tables'!$B$21:$B$32,'Budgeting Tables'!$B$37:$B$48),_xlpm.dataBlock,CHOOSE(_xlpm.statusIdx,'Budgeting Tables'!$C$5:$E$16,'Budgeting Tables'!$C$21:$E$32,'Budgeting Tables'!$C$37:$E$48),_xlpm.rowNum,MATCH($B5,_xlpm.rowLabels,0),INDEX(_xlpm.dataBlock,_xlpm.rowNum,_xlpm.housingIdx))</f>
        <v>25298.31</v>
      </c>
      <c r="E5" s="4"/>
      <c r="F5" s="4"/>
    </row>
    <row r="6" spans="2:7" ht="30" customHeight="1" x14ac:dyDescent="0.2">
      <c r="B6" s="13" t="s">
        <v>10</v>
      </c>
      <c r="C6" s="43" t="s">
        <v>124</v>
      </c>
      <c r="D6" s="16" cm="1">
        <f t="array" ref="D6">_xlfn.LET(_xlpm.statusIdx,Background!$C$7,_xlpm.housingIdx,Background!$C$9,_xlpm.rowLabels,CHOOSE(_xlpm.statusIdx,'Budgeting Tables'!$B$5:$B$16,'Budgeting Tables'!$B$21:$B$32,'Budgeting Tables'!$B$37:$B$48),_xlpm.dataBlock,CHOOSE(_xlpm.statusIdx,'Budgeting Tables'!$C$5:$E$16,'Budgeting Tables'!$C$21:$E$32,'Budgeting Tables'!$C$37:$E$48),_xlpm.rowNum,MATCH($B6,_xlpm.rowLabels,0),INDEX(_xlpm.dataBlock,_xlpm.rowNum,_xlpm.housingIdx))</f>
        <v>1475.9</v>
      </c>
      <c r="E6" s="4"/>
      <c r="F6" s="4"/>
    </row>
    <row r="7" spans="2:7" ht="30" customHeight="1" x14ac:dyDescent="0.2">
      <c r="B7" s="13" t="s">
        <v>11</v>
      </c>
      <c r="C7" s="43" t="s">
        <v>124</v>
      </c>
      <c r="D7" s="16" cm="1">
        <f t="array" ref="D7">_xlfn.LET(_xlpm.statusIdx,Background!$C$7,_xlpm.housingIdx,Background!$C$9,_xlpm.rowLabels,CHOOSE(_xlpm.statusIdx,'Budgeting Tables'!$B$5:$B$16,'Budgeting Tables'!$B$21:$B$32,'Budgeting Tables'!$B$37:$B$48),_xlpm.dataBlock,CHOOSE(_xlpm.statusIdx,'Budgeting Tables'!$C$5:$E$16,'Budgeting Tables'!$C$21:$E$32,'Budgeting Tables'!$C$37:$E$48),_xlpm.rowNum,MATCH($B7,_xlpm.rowLabels,0),INDEX(_xlpm.dataBlock,_xlpm.rowNum,_xlpm.housingIdx))</f>
        <v>900</v>
      </c>
      <c r="E7" s="4"/>
      <c r="F7" s="4"/>
    </row>
    <row r="8" spans="2:7" ht="30" customHeight="1" x14ac:dyDescent="0.2">
      <c r="B8" s="13" t="s">
        <v>12</v>
      </c>
      <c r="C8" s="43" t="s">
        <v>124</v>
      </c>
      <c r="D8" s="16" cm="1">
        <f t="array" ref="D8">_xlfn.LET(_xlpm.statusIdx,Background!$C$7,_xlpm.housingIdx,Background!$C$9,_xlpm.rowLabels,CHOOSE(_xlpm.statusIdx,'Budgeting Tables'!$B$5:$B$16,'Budgeting Tables'!$B$21:$B$32,'Budgeting Tables'!$B$37:$B$48),_xlpm.dataBlock,CHOOSE(_xlpm.statusIdx,'Budgeting Tables'!$C$5:$E$16,'Budgeting Tables'!$C$21:$E$32,'Budgeting Tables'!$C$37:$E$48),_xlpm.rowNum,MATCH($B8,_xlpm.rowLabels,0),INDEX(_xlpm.dataBlock,_xlpm.rowNum,_xlpm.housingIdx))</f>
        <v>12720</v>
      </c>
      <c r="E8" s="4"/>
      <c r="F8" s="4"/>
    </row>
    <row r="9" spans="2:7" ht="30" customHeight="1" x14ac:dyDescent="0.2">
      <c r="B9" s="13" t="s">
        <v>0</v>
      </c>
      <c r="C9" s="43" t="s">
        <v>124</v>
      </c>
      <c r="D9" s="16" cm="1">
        <f t="array" ref="D9">_xlfn.LET(_xlpm.statusIdx,Background!$C$7,_xlpm.housingIdx,Background!$C$9,_xlpm.rowLabels,CHOOSE(_xlpm.statusIdx,'Budgeting Tables'!$B$5:$B$16,'Budgeting Tables'!$B$21:$B$32,'Budgeting Tables'!$B$37:$B$48),_xlpm.dataBlock,CHOOSE(_xlpm.statusIdx,'Budgeting Tables'!$C$5:$E$16,'Budgeting Tables'!$C$21:$E$32,'Budgeting Tables'!$C$37:$E$48),_xlpm.rowNum,MATCH($B9,_xlpm.rowLabels,0),INDEX(_xlpm.dataBlock,_xlpm.rowNum,_xlpm.housingIdx))</f>
        <v>1100</v>
      </c>
      <c r="E9" s="4"/>
      <c r="F9" s="4"/>
    </row>
    <row r="10" spans="2:7" ht="30" customHeight="1" x14ac:dyDescent="0.2">
      <c r="B10" s="13" t="s">
        <v>1</v>
      </c>
      <c r="C10" s="43" t="s">
        <v>124</v>
      </c>
      <c r="D10" s="16" cm="1">
        <f t="array" ref="D10">_xlfn.LET(_xlpm.statusIdx,Background!$C$7,_xlpm.housingIdx,Background!$C$9,_xlpm.rowLabels,CHOOSE(_xlpm.statusIdx,'Budgeting Tables'!$B$5:$B$16,'Budgeting Tables'!$B$21:$B$32,'Budgeting Tables'!$B$37:$B$48),_xlpm.dataBlock,CHOOSE(_xlpm.statusIdx,'Budgeting Tables'!$C$5:$E$16,'Budgeting Tables'!$C$21:$E$32,'Budgeting Tables'!$C$37:$E$48),_xlpm.rowNum,MATCH($B10,_xlpm.rowLabels,0),INDEX(_xlpm.dataBlock,_xlpm.rowNum,_xlpm.housingIdx))</f>
        <v>3800</v>
      </c>
      <c r="E10" s="4"/>
      <c r="F10" s="4"/>
    </row>
    <row r="11" spans="2:7" ht="30" customHeight="1" x14ac:dyDescent="0.2">
      <c r="B11" s="13" t="s">
        <v>13</v>
      </c>
      <c r="C11" s="43" t="s">
        <v>124</v>
      </c>
      <c r="D11" s="16" cm="1">
        <f t="array" ref="D11">_xlfn.LET(_xlpm.statusIdx,Background!$C$7,_xlpm.housingIdx,Background!$C$9,_xlpm.rowLabels,CHOOSE(_xlpm.statusIdx,'Budgeting Tables'!$B$5:$B$16,'Budgeting Tables'!$B$21:$B$32,'Budgeting Tables'!$B$37:$B$48),_xlpm.dataBlock,CHOOSE(_xlpm.statusIdx,'Budgeting Tables'!$C$5:$E$16,'Budgeting Tables'!$C$21:$E$32,'Budgeting Tables'!$C$37:$E$48),_xlpm.rowNum,MATCH($B11,_xlpm.rowLabels,0),INDEX(_xlpm.dataBlock,_xlpm.rowNum,_xlpm.housingIdx))</f>
        <v>600</v>
      </c>
      <c r="E11" s="4"/>
      <c r="F11" s="4"/>
    </row>
    <row r="12" spans="2:7" ht="30" customHeight="1" x14ac:dyDescent="0.2">
      <c r="B12" s="13" t="s">
        <v>14</v>
      </c>
      <c r="C12" s="43" t="s">
        <v>124</v>
      </c>
      <c r="D12" s="16" cm="1">
        <f t="array" ref="D12">_xlfn.LET(_xlpm.statusIdx,Background!$C$7,_xlpm.housingIdx,Background!$C$9,_xlpm.rowLabels,CHOOSE(_xlpm.statusIdx,'Budgeting Tables'!$B$5:$B$16,'Budgeting Tables'!$B$21:$B$32,'Budgeting Tables'!$B$37:$B$48),_xlpm.dataBlock,CHOOSE(_xlpm.statusIdx,'Budgeting Tables'!$C$5:$E$16,'Budgeting Tables'!$C$21:$E$32,'Budgeting Tables'!$C$37:$E$48),_xlpm.rowNum,MATCH($B12,_xlpm.rowLabels,0),INDEX(_xlpm.dataBlock,_xlpm.rowNum,_xlpm.housingIdx))</f>
        <v>360</v>
      </c>
      <c r="E12" s="4"/>
      <c r="F12" s="4"/>
    </row>
    <row r="13" spans="2:7" ht="30" customHeight="1" x14ac:dyDescent="0.2">
      <c r="B13" s="13" t="s">
        <v>15</v>
      </c>
      <c r="C13" s="43" t="s">
        <v>124</v>
      </c>
      <c r="D13" s="16" cm="1">
        <f t="array" ref="D13">_xlfn.LET(_xlpm.statusIdx,Background!$C$7,_xlpm.housingIdx,Background!$C$9,_xlpm.rowLabels,CHOOSE(_xlpm.statusIdx,'Budgeting Tables'!$B$5:$B$16,'Budgeting Tables'!$B$21:$B$32,'Budgeting Tables'!$B$37:$B$48),_xlpm.dataBlock,CHOOSE(_xlpm.statusIdx,'Budgeting Tables'!$C$5:$E$16,'Budgeting Tables'!$C$21:$E$32,'Budgeting Tables'!$C$37:$E$48),_xlpm.rowNum,MATCH($B13,_xlpm.rowLabels,0),INDEX(_xlpm.dataBlock,_xlpm.rowNum,_xlpm.housingIdx))</f>
        <v>0</v>
      </c>
      <c r="E13" s="4"/>
      <c r="F13" s="4"/>
    </row>
    <row r="14" spans="2:7" s="2" customFormat="1" ht="30" customHeight="1" x14ac:dyDescent="0.2">
      <c r="B14" s="13" t="s">
        <v>16</v>
      </c>
      <c r="C14" s="43" t="s">
        <v>124</v>
      </c>
      <c r="D14" s="16" cm="1">
        <f t="array" ref="D14">_xlfn.LET(_xlpm.statusIdx,Background!$C$7,_xlpm.housingIdx,Background!$C$9,_xlpm.rowLabels,CHOOSE(_xlpm.statusIdx,'Budgeting Tables'!$B$5:$B$16,'Budgeting Tables'!$B$21:$B$32,'Budgeting Tables'!$B$37:$B$48),_xlpm.dataBlock,CHOOSE(_xlpm.statusIdx,'Budgeting Tables'!$C$5:$E$16,'Budgeting Tables'!$C$21:$E$32,'Budgeting Tables'!$C$37:$E$48),_xlpm.rowNum,MATCH($B14,_xlpm.rowLabels,0),INDEX(_xlpm.dataBlock,_xlpm.rowNum,_xlpm.housingIdx))</f>
        <v>358.4</v>
      </c>
    </row>
    <row r="15" spans="2:7" s="2" customFormat="1" ht="30" customHeight="1" x14ac:dyDescent="0.2">
      <c r="B15" s="13" t="s">
        <v>21</v>
      </c>
      <c r="C15" s="43" t="s">
        <v>124</v>
      </c>
      <c r="D15" s="16" cm="1">
        <f t="array" ref="D15">_xlfn.LET(_xlpm.statusIdx,Background!$C$7,_xlpm.housingIdx,Background!$C$9,_xlpm.rowLabels,CHOOSE(_xlpm.statusIdx,'Budgeting Tables'!$B$5:$B$16,'Budgeting Tables'!$B$21:$B$32,'Budgeting Tables'!$B$37:$B$48),_xlpm.dataBlock,CHOOSE(_xlpm.statusIdx,'Budgeting Tables'!$C$5:$E$16,'Budgeting Tables'!$C$21:$E$32,'Budgeting Tables'!$C$37:$E$48),_xlpm.rowNum,MATCH($B15,_xlpm.rowLabels,0),INDEX(_xlpm.dataBlock,_xlpm.rowNum,_xlpm.housingIdx))</f>
        <v>0</v>
      </c>
    </row>
    <row r="16" spans="2:7" s="3" customFormat="1" ht="30" customHeight="1" x14ac:dyDescent="0.2">
      <c r="B16" s="13" t="s">
        <v>17</v>
      </c>
      <c r="C16" s="43" t="s">
        <v>124</v>
      </c>
      <c r="D16" s="16" cm="1">
        <f t="array" ref="D16">_xlfn.LET(_xlpm.statusIdx,Background!$C$7,_xlpm.housingIdx,Background!$C$9,_xlpm.rowLabels,CHOOSE(_xlpm.statusIdx,'Budgeting Tables'!$B$5:$B$16,'Budgeting Tables'!$B$21:$B$32,'Budgeting Tables'!$B$37:$B$48),_xlpm.dataBlock,CHOOSE(_xlpm.statusIdx,'Budgeting Tables'!$C$5:$E$16,'Budgeting Tables'!$C$21:$E$32,'Budgeting Tables'!$C$37:$E$48),_xlpm.rowNum,MATCH($B16,_xlpm.rowLabels,0),INDEX(_xlpm.dataBlock,_xlpm.rowNum,_xlpm.housingIdx))</f>
        <v>3000</v>
      </c>
    </row>
    <row r="17" spans="2:6" s="3" customFormat="1" ht="30" customHeight="1" x14ac:dyDescent="0.2">
      <c r="B17" s="13" t="s">
        <v>56</v>
      </c>
      <c r="C17" s="43" t="s">
        <v>124</v>
      </c>
      <c r="D17" s="16">
        <f>IF(Background!$C$5=1,'Budgeting Tables'!$K$4, IF(Background!$C$5=2,'Budgeting Tables'!$K$5,'Budgeting Tables'!$K$6))</f>
        <v>9692.7419354838712</v>
      </c>
    </row>
    <row r="18" spans="2:6" s="3" customFormat="1" ht="30" customHeight="1" thickBot="1" x14ac:dyDescent="0.25">
      <c r="B18" s="13" t="s">
        <v>57</v>
      </c>
      <c r="C18" s="43" t="s">
        <v>124</v>
      </c>
      <c r="D18" s="16">
        <f>IF(Background!$C$5=1,'Budgeting Tables'!$J$4, IF(Background!$C$5=2,'Budgeting Tables'!$J$5,'Budgeting Tables'!$J$6))</f>
        <v>4891.264516129032</v>
      </c>
    </row>
    <row r="19" spans="2:6" ht="30" customHeight="1" thickTop="1" x14ac:dyDescent="0.2">
      <c r="B19" s="15" t="s">
        <v>59</v>
      </c>
      <c r="C19" s="82">
        <f>SUM($C$5:$C$16)</f>
        <v>0</v>
      </c>
      <c r="D19" s="82">
        <f>SUM($D$5:$D$16)</f>
        <v>49612.610000000008</v>
      </c>
      <c r="E19" s="4"/>
      <c r="F19" s="4"/>
    </row>
    <row r="20" spans="2:6" ht="30" customHeight="1" x14ac:dyDescent="0.2">
      <c r="B20" s="27" t="s">
        <v>58</v>
      </c>
      <c r="C20" s="83">
        <f>SUM($C$17:$C$18)</f>
        <v>0</v>
      </c>
      <c r="D20" s="83">
        <f>SUM($D$17:$D$18)</f>
        <v>14584.006451612902</v>
      </c>
      <c r="E20" s="4"/>
      <c r="F20" s="4"/>
    </row>
    <row r="21" spans="2:6" ht="30" customHeight="1" x14ac:dyDescent="0.2">
      <c r="C21" s="4"/>
      <c r="D21" s="4"/>
      <c r="E21" s="4"/>
      <c r="F21" s="4"/>
    </row>
    <row r="22" spans="2:6" ht="30" customHeight="1" x14ac:dyDescent="0.2">
      <c r="B22" s="94" t="s">
        <v>71</v>
      </c>
      <c r="C22" s="94"/>
      <c r="D22" s="94"/>
      <c r="E22" s="94"/>
      <c r="F22" s="4"/>
    </row>
    <row r="23" spans="2:6" ht="30" customHeight="1" x14ac:dyDescent="0.2">
      <c r="B23" s="94"/>
      <c r="C23" s="94"/>
      <c r="D23" s="94"/>
      <c r="E23" s="94"/>
      <c r="F23" s="4"/>
    </row>
    <row r="24" spans="2:6" ht="30" customHeight="1" x14ac:dyDescent="0.2">
      <c r="C24" s="4"/>
      <c r="D24" s="4"/>
      <c r="E24" s="4"/>
      <c r="F24" s="4"/>
    </row>
    <row r="25" spans="2:6" ht="30" customHeight="1" x14ac:dyDescent="0.2">
      <c r="C25" s="4"/>
      <c r="D25" s="4"/>
      <c r="E25" s="4"/>
      <c r="F25" s="4"/>
    </row>
    <row r="26" spans="2:6" ht="30" customHeight="1" x14ac:dyDescent="0.2">
      <c r="C26" s="4"/>
      <c r="D26" s="4"/>
      <c r="E26" s="4"/>
      <c r="F26" s="4"/>
    </row>
    <row r="27" spans="2:6" ht="30" customHeight="1" x14ac:dyDescent="0.2">
      <c r="C27" s="4"/>
      <c r="D27" s="4"/>
      <c r="E27" s="4"/>
      <c r="F27" s="4"/>
    </row>
    <row r="28" spans="2:6" ht="30" customHeight="1" x14ac:dyDescent="0.2">
      <c r="C28" s="4"/>
      <c r="D28" s="4"/>
      <c r="E28" s="4"/>
      <c r="F28" s="4"/>
    </row>
    <row r="29" spans="2:6" ht="30" customHeight="1" x14ac:dyDescent="0.2">
      <c r="C29" s="4"/>
      <c r="D29" s="4"/>
      <c r="E29" s="4"/>
      <c r="F29" s="4"/>
    </row>
    <row r="30" spans="2:6" ht="30" customHeight="1" x14ac:dyDescent="0.2">
      <c r="C30" s="4"/>
      <c r="D30" s="4"/>
      <c r="E30" s="4"/>
      <c r="F30" s="4"/>
    </row>
    <row r="31" spans="2:6" ht="30" customHeight="1" x14ac:dyDescent="0.2">
      <c r="C31" s="4"/>
      <c r="D31" s="4"/>
      <c r="E31" s="4"/>
      <c r="F31" s="4"/>
    </row>
    <row r="32" spans="2:6" ht="30" customHeight="1" x14ac:dyDescent="0.2">
      <c r="C32" s="4"/>
      <c r="D32" s="4"/>
      <c r="E32" s="4"/>
      <c r="F32" s="4"/>
    </row>
    <row r="33" ht="30" customHeight="1" x14ac:dyDescent="0.2"/>
    <row r="34" ht="30" customHeight="1" x14ac:dyDescent="0.2"/>
    <row r="35" ht="30" customHeight="1" x14ac:dyDescent="0.2"/>
    <row r="36" ht="30" customHeight="1" x14ac:dyDescent="0.2"/>
    <row r="37" ht="30" customHeight="1" x14ac:dyDescent="0.2"/>
    <row r="38" ht="30" customHeight="1" x14ac:dyDescent="0.2"/>
    <row r="39" ht="30" customHeight="1" x14ac:dyDescent="0.2"/>
    <row r="40" ht="30" customHeight="1" x14ac:dyDescent="0.2"/>
    <row r="41" ht="30" customHeight="1" x14ac:dyDescent="0.2"/>
    <row r="42" ht="30" customHeight="1" x14ac:dyDescent="0.2"/>
    <row r="43" ht="30" customHeight="1" x14ac:dyDescent="0.2"/>
    <row r="44" ht="30" customHeight="1" x14ac:dyDescent="0.2"/>
    <row r="45" ht="30" customHeight="1" x14ac:dyDescent="0.2"/>
    <row r="46" ht="30" customHeight="1" x14ac:dyDescent="0.2"/>
    <row r="47" ht="30" customHeight="1" x14ac:dyDescent="0.2"/>
    <row r="48" ht="30" customHeight="1" x14ac:dyDescent="0.2"/>
    <row r="49" ht="30" customHeight="1" x14ac:dyDescent="0.2"/>
    <row r="50" ht="30" customHeight="1" x14ac:dyDescent="0.2"/>
    <row r="51" ht="30" customHeight="1" x14ac:dyDescent="0.2"/>
    <row r="52" ht="30" customHeight="1" x14ac:dyDescent="0.2"/>
    <row r="53" ht="30" customHeight="1" x14ac:dyDescent="0.2"/>
    <row r="54" ht="30" customHeight="1" x14ac:dyDescent="0.2"/>
    <row r="55" ht="30" customHeight="1" x14ac:dyDescent="0.2"/>
    <row r="56" ht="30" customHeight="1" x14ac:dyDescent="0.2"/>
    <row r="57" ht="30" customHeight="1" x14ac:dyDescent="0.2"/>
  </sheetData>
  <sheetProtection algorithmName="SHA-512" hashValue="qb0gSGArongdtKEdZknAO+7zVZ45GNkpikFZ98mqLv5QbRJiGO19NSemqmDr9yDOkEmBbr3cTIZ1iobbvsTY7g==" saltValue="tXbh+j4+RDJ6Yn/PUjM10A==" spinCount="100000" sheet="1" objects="1" selectLockedCells="1"/>
  <mergeCells count="3">
    <mergeCell ref="B1:G1"/>
    <mergeCell ref="B3:E3"/>
    <mergeCell ref="B22:E23"/>
  </mergeCells>
  <conditionalFormatting sqref="C5:C18">
    <cfRule type="expression" dxfId="78" priority="2">
      <formula>ISNUMBER(C5)</formula>
    </cfRule>
  </conditionalFormatting>
  <conditionalFormatting sqref="C5:C18">
    <cfRule type="expression" dxfId="77" priority="1">
      <formula>$C5="Enter Value"</formula>
    </cfRule>
  </conditionalFormatting>
  <dataValidations count="14">
    <dataValidation allowBlank="1" showInputMessage="1" showErrorMessage="1" promptTitle="Tuition" prompt="Enter your annual tuition cost for the academic year. It should match our estimate. " sqref="C5" xr:uid="{B02FAD55-3DAB-4138-BB72-57F3100C62E2}"/>
    <dataValidation allowBlank="1" showInputMessage="1" showErrorMessage="1" promptTitle="Ancillary Fees" prompt="Enter the ancillary fees for the academic year. It should match our estimate. " sqref="C6" xr:uid="{679652CE-7CE9-4DA0-B9BE-FE0995E1398D}"/>
    <dataValidation allowBlank="1" showInputMessage="1" showErrorMessage="1" promptTitle="Books &amp; Supplies" prompt="Estimate the cost of textbooks, course materials, and supplies for the academic year." sqref="C7" xr:uid="{DD23DF75-4E2E-47CE-AFF6-2D07DE953D72}"/>
    <dataValidation allowBlank="1" showInputMessage="1" showErrorMessage="1" promptTitle="Rent &amp; Utilities" prompt="Enter your annual housing cost including utilities. Tip: Monthly rent × 8 months enrolled." sqref="C8" xr:uid="{41433D8D-4CEE-4DC6-B2F5-19FC0EC73A3A}"/>
    <dataValidation allowBlank="1" showInputMessage="1" showErrorMessage="1" promptTitle="Transportation" prompt="Enter your transportation costs for the academic year (e.g., transit pass, gas, parking)." sqref="C9" xr:uid="{5869783A-A56A-4BF7-8B07-13657183940A}"/>
    <dataValidation allowBlank="1" showInputMessage="1" showErrorMessage="1" promptTitle="Food" prompt="Estimate your food and grocery expenses for the academic year." sqref="C10" xr:uid="{FBE17A85-61BF-459F-A99C-2F3116758FAF}"/>
    <dataValidation allowBlank="1" showInputMessage="1" showErrorMessage="1" promptTitle="Phone" prompt="Enter your mobile phone plan cost for the academic year. Tip: Monthly cost x 8 months enrolled. " sqref="C11" xr:uid="{94DF99DA-1724-4DAB-A192-171EDDDEF60C}"/>
    <dataValidation allowBlank="1" showInputMessage="1" showErrorMessage="1" promptTitle="Basic Cable" prompt="Enter your cable TV subscription cost for the academic year. Tip: Monthly cost x 8 months enrolled." sqref="C12" xr:uid="{79910571-7FDA-4F3A-A1A4-63B0956E34BB}"/>
    <dataValidation allowBlank="1" showInputMessage="1" showErrorMessage="1" promptTitle="Internet" prompt="Enter your internet service cost for the academic year. Tip: Monthly cost x 8 months enrolled." sqref="C13" xr:uid="{B768F9C2-AA35-4E1E-9EFE-84DCF823B757}"/>
    <dataValidation allowBlank="1" showInputMessage="1" showErrorMessage="1" promptTitle="Health &amp; Dental" prompt="Enter your health and dental insurance or plan fees for the academic year. This can include any upcoming uninsured costs that are related. Our estimate is for the YFS Health &amp; Dental plan. " sqref="C14" xr:uid="{84C338A0-7A71-41B8-A0F7-4F00DCE1D3F3}"/>
    <dataValidation allowBlank="1" showInputMessage="1" showErrorMessage="1" promptTitle="UHIP" prompt="Enter your University Health Insurance Plan cost for the academic year (if applicable). This is for international students. " sqref="C15" xr:uid="{26561E96-7227-4DD4-A21A-6E3C84EAFFE1}"/>
    <dataValidation allowBlank="1" showInputMessage="1" showErrorMessage="1" promptTitle="Other Costs" prompt="Enter any other expenses/costs not listed above that you tend to incur during the academic year." sqref="C16" xr:uid="{A12FAEFE-B62C-4EE0-883D-2A542AB817EB}"/>
    <dataValidation allowBlank="1" showInputMessage="1" showErrorMessage="1" promptTitle="Government Loan Debt" prompt="Enter your current outstanding government student loan balance. This should be related to previous educational pursuits. Our estimate is the previous acamedic year's average for a student with your study level." sqref="C17" xr:uid="{7851F3DC-7E99-4F86-A10F-447AC4161D90}"/>
    <dataValidation allowBlank="1" showInputMessage="1" showErrorMessage="1" promptTitle="SLOC Debt" prompt="Enter your current outstanding student line of credit balance. Our estimate is the previous acamedic year's average for a student with your study level." sqref="C18" xr:uid="{F5658A47-F9E3-4D87-8FEF-C28349020013}"/>
  </dataValidations>
  <pageMargins left="0.7" right="0.7" top="0.75" bottom="0.75" header="0.3" footer="0.3"/>
  <pageSetup scale="57" orientation="portrait" horizontalDpi="4294967293" verticalDpi="0" r:id="rId1"/>
  <headerFooter>
    <oddHeader>&amp;C&amp;"+,Regular"&amp;24&amp;K04-049Vacation Budget Planner</oddHeader>
  </headerFooter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03B02-2F7B-42A6-9B4A-B7E42C258F13}">
  <sheetPr codeName="Sheet8">
    <tabColor rgb="FFE31837"/>
    <pageSetUpPr fitToPage="1"/>
  </sheetPr>
  <dimension ref="B1:O60"/>
  <sheetViews>
    <sheetView showGridLines="0" zoomScaleNormal="100" zoomScalePageLayoutView="55" workbookViewId="0">
      <selection activeCell="O5" sqref="O5"/>
    </sheetView>
  </sheetViews>
  <sheetFormatPr defaultColWidth="8.875" defaultRowHeight="22.15" customHeight="1" x14ac:dyDescent="0.2"/>
  <cols>
    <col min="1" max="1" width="1.875" style="4" customWidth="1"/>
    <col min="2" max="2" width="34.5" style="4" customWidth="1"/>
    <col min="3" max="4" width="25.875" style="5" customWidth="1"/>
    <col min="5" max="5" width="22.875" style="5" customWidth="1"/>
    <col min="6" max="6" width="25.875" style="5" customWidth="1"/>
    <col min="7" max="7" width="25.625" style="4" customWidth="1"/>
    <col min="8" max="8" width="1.75" style="4" customWidth="1"/>
    <col min="9" max="16384" width="8.875" style="4"/>
  </cols>
  <sheetData>
    <row r="1" spans="2:15" s="1" customFormat="1" ht="75" customHeight="1" x14ac:dyDescent="0.2">
      <c r="B1" s="89" t="s">
        <v>97</v>
      </c>
      <c r="C1" s="89"/>
      <c r="D1" s="89"/>
      <c r="E1" s="89"/>
      <c r="F1" s="89"/>
      <c r="G1" s="89"/>
      <c r="I1" s="84"/>
    </row>
    <row r="2" spans="2:15" s="10" customFormat="1" ht="30" customHeight="1" x14ac:dyDescent="0.2"/>
    <row r="3" spans="2:15" s="2" customFormat="1" ht="30" customHeight="1" x14ac:dyDescent="0.2">
      <c r="B3" s="92" t="s">
        <v>138</v>
      </c>
      <c r="C3" s="92"/>
      <c r="D3" s="92"/>
      <c r="E3" s="92"/>
    </row>
    <row r="4" spans="2:15" s="3" customFormat="1" ht="30" customHeight="1" x14ac:dyDescent="0.2"/>
    <row r="5" spans="2:15" ht="30" customHeight="1" x14ac:dyDescent="0.2">
      <c r="B5" s="97" t="s">
        <v>75</v>
      </c>
      <c r="C5" s="97"/>
      <c r="D5" s="4"/>
      <c r="E5" s="4"/>
      <c r="F5" s="4"/>
      <c r="H5" s="29"/>
      <c r="I5" s="29"/>
    </row>
    <row r="6" spans="2:15" ht="30" customHeight="1" x14ac:dyDescent="0.2">
      <c r="B6" s="32" t="s">
        <v>63</v>
      </c>
      <c r="C6" s="33">
        <f>'Income &amp; Resources'!$C$12</f>
        <v>0</v>
      </c>
      <c r="D6" s="4"/>
      <c r="E6" s="4"/>
      <c r="F6" s="4"/>
      <c r="H6" s="32"/>
      <c r="I6" s="99"/>
      <c r="J6" s="99"/>
    </row>
    <row r="7" spans="2:15" ht="30" customHeight="1" x14ac:dyDescent="0.2">
      <c r="B7" s="32" t="s">
        <v>64</v>
      </c>
      <c r="C7" s="33">
        <f>'Expenses &amp; Debt'!$C$19</f>
        <v>0</v>
      </c>
      <c r="D7" s="4"/>
      <c r="E7" s="4"/>
      <c r="F7" s="4"/>
      <c r="H7" s="32"/>
      <c r="I7" s="99"/>
      <c r="J7" s="99"/>
    </row>
    <row r="8" spans="2:15" ht="30" customHeight="1" x14ac:dyDescent="0.2">
      <c r="B8" s="32" t="s">
        <v>65</v>
      </c>
      <c r="C8" s="33">
        <f>'Expenses &amp; Debt'!$C$20</f>
        <v>0</v>
      </c>
      <c r="D8" s="4"/>
      <c r="E8" s="4"/>
      <c r="F8" s="4"/>
      <c r="G8"/>
      <c r="H8" s="32"/>
      <c r="I8" s="99"/>
      <c r="J8" s="99"/>
    </row>
    <row r="9" spans="2:15" ht="30" customHeight="1" x14ac:dyDescent="0.2">
      <c r="B9" s="32" t="s">
        <v>73</v>
      </c>
      <c r="C9" s="33">
        <f>$C$6-$C$7</f>
        <v>0</v>
      </c>
      <c r="D9" s="4"/>
      <c r="E9" s="4"/>
      <c r="F9" s="4"/>
      <c r="G9"/>
      <c r="H9" s="32"/>
      <c r="I9" s="99"/>
      <c r="J9" s="99"/>
    </row>
    <row r="10" spans="2:15" ht="30" customHeight="1" x14ac:dyDescent="0.2">
      <c r="D10" s="4"/>
      <c r="E10" s="4"/>
      <c r="F10" s="4"/>
      <c r="H10" s="29"/>
      <c r="I10" s="100"/>
      <c r="J10" s="100"/>
    </row>
    <row r="11" spans="2:15" ht="30" customHeight="1" x14ac:dyDescent="0.2">
      <c r="B11" s="97" t="s">
        <v>74</v>
      </c>
      <c r="C11" s="97"/>
      <c r="D11" s="4"/>
      <c r="E11" s="4"/>
      <c r="F11" s="4"/>
      <c r="H11" s="29"/>
      <c r="I11" s="42"/>
      <c r="J11" s="42"/>
    </row>
    <row r="12" spans="2:15" ht="30" customHeight="1" x14ac:dyDescent="0.2">
      <c r="B12" s="32" t="s">
        <v>70</v>
      </c>
      <c r="C12" s="33">
        <f>$C$6+$E$16</f>
        <v>0</v>
      </c>
      <c r="D12" s="4"/>
      <c r="E12" s="4"/>
      <c r="F12" s="4"/>
      <c r="H12" s="32"/>
      <c r="I12" s="99"/>
      <c r="J12" s="99"/>
    </row>
    <row r="13" spans="2:15" ht="30" customHeight="1" x14ac:dyDescent="0.2">
      <c r="B13" s="32" t="s">
        <v>64</v>
      </c>
      <c r="C13" s="33">
        <f>'Expenses &amp; Debt'!$C$19</f>
        <v>0</v>
      </c>
      <c r="D13" s="4"/>
      <c r="E13" s="4"/>
      <c r="F13" s="4"/>
      <c r="H13" s="32"/>
      <c r="I13" s="99"/>
      <c r="J13" s="99"/>
    </row>
    <row r="14" spans="2:15" ht="30" customHeight="1" x14ac:dyDescent="0.2">
      <c r="B14" s="32" t="s">
        <v>73</v>
      </c>
      <c r="C14" s="33">
        <f>$C$12-$C$13</f>
        <v>0</v>
      </c>
      <c r="D14" s="4"/>
      <c r="E14" s="4"/>
      <c r="F14" s="4"/>
      <c r="H14" s="32"/>
      <c r="I14" s="99"/>
      <c r="J14" s="99"/>
    </row>
    <row r="15" spans="2:15" ht="30" customHeight="1" x14ac:dyDescent="0.2">
      <c r="C15" s="4"/>
      <c r="D15" s="4"/>
      <c r="E15" s="4"/>
      <c r="F15" s="4"/>
    </row>
    <row r="16" spans="2:15" ht="30" customHeight="1" x14ac:dyDescent="0.2">
      <c r="B16" s="95" t="s">
        <v>76</v>
      </c>
      <c r="C16" s="95"/>
      <c r="D16" s="95"/>
      <c r="E16" s="40">
        <f>_xlfn.LET(_xlpm.lvl, Background!$C$5, _xlpm.s, SUM('Budget Summary'!$C$8, IF('Budget Summary'!$C$9&lt;0, -'Budget Summary'!$C$9, -'Budget Summary'!$C$9)), _xlpm.mins, CHOOSE(_xlpm.lvl, 'Budgeting Tables'!$K$9:$K$13, 'Budgeting Tables'!$K$15:$K$19, 'Budgeting Tables'!$K$21:$K$25), _xlpm.amts, CHOOSE(_xlpm.lvl, 'Budgeting Tables'!$J$9:$J$13, 'Budgeting Tables'!$J$15:$J$19, 'Budgeting Tables'!$J$21:$J$25), IF(_xlpm.s&lt;=INDEX(_xlpm.mins,1), 0, LOOKUP(_xlpm.s, _xlpm.mins, _xlpm.amts)))</f>
        <v>0</v>
      </c>
      <c r="F16" s="4"/>
      <c r="G16" s="95" t="s">
        <v>99</v>
      </c>
      <c r="H16" s="95"/>
      <c r="I16" s="95"/>
      <c r="J16" s="95"/>
      <c r="K16" s="95"/>
      <c r="L16" s="95"/>
      <c r="M16" s="95"/>
      <c r="N16" s="95"/>
      <c r="O16" s="95"/>
    </row>
    <row r="17" spans="2:15" s="2" customFormat="1" ht="30" customHeight="1" x14ac:dyDescent="0.2">
      <c r="B17" s="96" t="s">
        <v>95</v>
      </c>
      <c r="C17" s="96"/>
      <c r="D17" s="96"/>
      <c r="E17" s="96"/>
      <c r="G17" s="98" t="s">
        <v>98</v>
      </c>
      <c r="H17" s="98"/>
      <c r="I17" s="98"/>
      <c r="J17" s="98"/>
      <c r="K17" s="98"/>
      <c r="L17" s="98"/>
      <c r="M17" s="98"/>
      <c r="N17" s="98"/>
      <c r="O17" s="98"/>
    </row>
    <row r="18" spans="2:15" s="2" customFormat="1" ht="30" customHeight="1" x14ac:dyDescent="0.2">
      <c r="B18" s="4"/>
    </row>
    <row r="19" spans="2:15" s="3" customFormat="1" ht="30" customHeight="1" x14ac:dyDescent="0.2">
      <c r="B19" s="4"/>
    </row>
    <row r="20" spans="2:15" s="3" customFormat="1" ht="30" customHeight="1" x14ac:dyDescent="0.2"/>
    <row r="21" spans="2:15" s="3" customFormat="1" ht="30" customHeight="1" x14ac:dyDescent="0.2"/>
    <row r="22" spans="2:15" ht="30" customHeight="1" x14ac:dyDescent="0.2">
      <c r="C22" s="4"/>
      <c r="D22" s="4"/>
      <c r="E22" s="4"/>
      <c r="F22" s="4"/>
    </row>
    <row r="23" spans="2:15" ht="30" customHeight="1" x14ac:dyDescent="0.2">
      <c r="C23" s="4"/>
      <c r="D23" s="4"/>
      <c r="E23" s="4"/>
      <c r="F23" s="4"/>
    </row>
    <row r="24" spans="2:15" ht="30" customHeight="1" x14ac:dyDescent="0.2">
      <c r="C24" s="4"/>
      <c r="D24" s="4"/>
      <c r="E24" s="4"/>
      <c r="F24" s="4"/>
    </row>
    <row r="25" spans="2:15" ht="30" customHeight="1" x14ac:dyDescent="0.2">
      <c r="C25" s="4"/>
      <c r="D25" s="4"/>
      <c r="E25" s="4"/>
      <c r="F25" s="4"/>
    </row>
    <row r="26" spans="2:15" ht="30" customHeight="1" x14ac:dyDescent="0.2">
      <c r="C26" s="4"/>
      <c r="D26" s="4"/>
      <c r="E26" s="4"/>
      <c r="F26" s="4"/>
    </row>
    <row r="27" spans="2:15" ht="30" customHeight="1" x14ac:dyDescent="0.2">
      <c r="C27" s="4"/>
      <c r="D27" s="4"/>
      <c r="E27" s="4"/>
      <c r="F27" s="4"/>
    </row>
    <row r="28" spans="2:15" ht="30" customHeight="1" x14ac:dyDescent="0.2">
      <c r="C28" s="4"/>
      <c r="D28" s="4"/>
      <c r="E28" s="4"/>
      <c r="F28" s="4"/>
    </row>
    <row r="29" spans="2:15" ht="30" customHeight="1" x14ac:dyDescent="0.2">
      <c r="C29" s="4"/>
      <c r="D29" s="4"/>
      <c r="E29" s="4"/>
      <c r="F29" s="4"/>
    </row>
    <row r="30" spans="2:15" ht="30" customHeight="1" x14ac:dyDescent="0.2">
      <c r="C30" s="4"/>
      <c r="D30" s="4"/>
      <c r="E30" s="4"/>
      <c r="F30" s="4"/>
    </row>
    <row r="31" spans="2:15" ht="30" customHeight="1" x14ac:dyDescent="0.2">
      <c r="C31" s="4"/>
      <c r="D31" s="4"/>
      <c r="E31" s="4"/>
      <c r="F31" s="4"/>
    </row>
    <row r="32" spans="2:15" ht="30" customHeight="1" x14ac:dyDescent="0.2">
      <c r="C32" s="4"/>
      <c r="D32" s="4"/>
      <c r="E32" s="4"/>
      <c r="F32" s="4"/>
    </row>
    <row r="33" spans="3:6" ht="30" customHeight="1" x14ac:dyDescent="0.2">
      <c r="C33" s="4"/>
      <c r="D33" s="4"/>
      <c r="E33" s="4"/>
      <c r="F33" s="4"/>
    </row>
    <row r="34" spans="3:6" ht="30" customHeight="1" x14ac:dyDescent="0.2">
      <c r="C34" s="4"/>
      <c r="D34" s="4"/>
      <c r="E34" s="4"/>
      <c r="F34" s="4"/>
    </row>
    <row r="35" spans="3:6" ht="30" customHeight="1" x14ac:dyDescent="0.2">
      <c r="C35" s="4"/>
      <c r="D35" s="4"/>
      <c r="E35" s="4"/>
      <c r="F35" s="4"/>
    </row>
    <row r="36" spans="3:6" ht="30" customHeight="1" x14ac:dyDescent="0.2"/>
    <row r="37" spans="3:6" ht="30" customHeight="1" x14ac:dyDescent="0.2"/>
    <row r="38" spans="3:6" ht="30" customHeight="1" x14ac:dyDescent="0.2"/>
    <row r="39" spans="3:6" ht="30" customHeight="1" x14ac:dyDescent="0.2"/>
    <row r="40" spans="3:6" ht="30" customHeight="1" x14ac:dyDescent="0.2"/>
    <row r="41" spans="3:6" ht="30" customHeight="1" x14ac:dyDescent="0.2"/>
    <row r="42" spans="3:6" ht="30" customHeight="1" x14ac:dyDescent="0.2"/>
    <row r="43" spans="3:6" ht="30" customHeight="1" x14ac:dyDescent="0.2"/>
    <row r="44" spans="3:6" ht="30" customHeight="1" x14ac:dyDescent="0.2"/>
    <row r="45" spans="3:6" ht="30" customHeight="1" x14ac:dyDescent="0.2"/>
    <row r="46" spans="3:6" ht="30" customHeight="1" x14ac:dyDescent="0.2"/>
    <row r="47" spans="3:6" ht="30" customHeight="1" x14ac:dyDescent="0.2"/>
    <row r="48" spans="3:6" ht="30" customHeight="1" x14ac:dyDescent="0.2"/>
    <row r="49" ht="30" customHeight="1" x14ac:dyDescent="0.2"/>
    <row r="50" ht="30" customHeight="1" x14ac:dyDescent="0.2"/>
    <row r="51" ht="30" customHeight="1" x14ac:dyDescent="0.2"/>
    <row r="52" ht="30" customHeight="1" x14ac:dyDescent="0.2"/>
    <row r="53" ht="30" customHeight="1" x14ac:dyDescent="0.2"/>
    <row r="54" ht="30" customHeight="1" x14ac:dyDescent="0.2"/>
    <row r="55" ht="30" customHeight="1" x14ac:dyDescent="0.2"/>
    <row r="56" ht="30" customHeight="1" x14ac:dyDescent="0.2"/>
    <row r="57" ht="30" customHeight="1" x14ac:dyDescent="0.2"/>
    <row r="58" ht="30" customHeight="1" x14ac:dyDescent="0.2"/>
    <row r="59" ht="30" customHeight="1" x14ac:dyDescent="0.2"/>
    <row r="60" ht="30" customHeight="1" x14ac:dyDescent="0.2"/>
  </sheetData>
  <sheetProtection algorithmName="SHA-512" hashValue="5glmAPyVHGR9dq8NJemeOksTZsSi1ZCXjHeXLcYmjweollv/b0l8Kf0IIvOZkR6+Gdc3cBjGGO3FnBUtypGW2Q==" saltValue="HjO3oPCnzaLAw9Wn41gXlw==" spinCount="100000" sheet="1" objects="1" scenarios="1" selectLockedCells="1" selectUnlockedCells="1"/>
  <mergeCells count="16">
    <mergeCell ref="B1:G1"/>
    <mergeCell ref="B3:E3"/>
    <mergeCell ref="B16:D16"/>
    <mergeCell ref="B17:E17"/>
    <mergeCell ref="B5:C5"/>
    <mergeCell ref="B11:C11"/>
    <mergeCell ref="G16:O16"/>
    <mergeCell ref="G17:O17"/>
    <mergeCell ref="I12:J12"/>
    <mergeCell ref="I13:J13"/>
    <mergeCell ref="I14:J14"/>
    <mergeCell ref="I6:J6"/>
    <mergeCell ref="I7:J7"/>
    <mergeCell ref="I8:J8"/>
    <mergeCell ref="I9:J9"/>
    <mergeCell ref="I10:J10"/>
  </mergeCells>
  <pageMargins left="0.7" right="0.7" top="0.75" bottom="0.75" header="0.3" footer="0.3"/>
  <pageSetup scale="57" orientation="portrait" horizontalDpi="4294967293" verticalDpi="0" r:id="rId1"/>
  <headerFooter>
    <oddHeader>&amp;C&amp;"+,Regular"&amp;24&amp;K04-049Vacation Budget Planner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052E0-67B5-459C-9DE2-67F01322015F}">
  <sheetPr codeName="Sheet9">
    <tabColor rgb="FFE31837"/>
    <pageSetUpPr fitToPage="1"/>
  </sheetPr>
  <dimension ref="B1:I73"/>
  <sheetViews>
    <sheetView showGridLines="0" zoomScaleNormal="100" zoomScalePageLayoutView="55" workbookViewId="0">
      <selection activeCell="H5" sqref="H5"/>
    </sheetView>
  </sheetViews>
  <sheetFormatPr defaultColWidth="8.875" defaultRowHeight="22.15" customHeight="1" x14ac:dyDescent="0.2"/>
  <cols>
    <col min="1" max="1" width="1.875" style="4" customWidth="1"/>
    <col min="2" max="2" width="20.625" style="4" customWidth="1"/>
    <col min="3" max="5" width="20.625" style="5" customWidth="1"/>
    <col min="6" max="6" width="21.125" style="5" customWidth="1"/>
    <col min="7" max="8" width="20.625" style="4" customWidth="1"/>
    <col min="9" max="9" width="16" style="4" customWidth="1"/>
    <col min="10" max="10" width="20.625" style="4" customWidth="1"/>
    <col min="11" max="16384" width="8.875" style="4"/>
  </cols>
  <sheetData>
    <row r="1" spans="2:9" s="1" customFormat="1" ht="75" customHeight="1" x14ac:dyDescent="0.2">
      <c r="B1" s="89" t="s">
        <v>100</v>
      </c>
      <c r="C1" s="89"/>
      <c r="D1" s="89"/>
      <c r="E1" s="89"/>
      <c r="F1" s="89"/>
      <c r="G1" s="89"/>
      <c r="H1" s="89"/>
      <c r="I1" s="89"/>
    </row>
    <row r="2" spans="2:9" s="10" customFormat="1" ht="30" customHeight="1" x14ac:dyDescent="0.2">
      <c r="B2" s="9"/>
      <c r="C2" s="9"/>
      <c r="D2" s="9"/>
      <c r="E2" s="9"/>
      <c r="F2" s="9"/>
    </row>
    <row r="3" spans="2:9" s="2" customFormat="1" ht="30" customHeight="1" x14ac:dyDescent="0.2">
      <c r="B3" s="102" t="s">
        <v>123</v>
      </c>
      <c r="C3" s="102"/>
      <c r="D3" s="102"/>
      <c r="E3" s="102"/>
      <c r="F3" s="102"/>
    </row>
    <row r="4" spans="2:9" ht="24.75" customHeight="1" x14ac:dyDescent="0.2">
      <c r="C4" s="26"/>
      <c r="F4" s="4"/>
    </row>
    <row r="5" spans="2:9" s="20" customFormat="1" ht="24.95" customHeight="1" x14ac:dyDescent="0.2">
      <c r="B5" s="85" t="s">
        <v>103</v>
      </c>
      <c r="C5" s="85"/>
      <c r="D5" s="85"/>
      <c r="E5" s="85"/>
      <c r="F5" s="85"/>
    </row>
    <row r="6" spans="2:9" s="20" customFormat="1" ht="24.95" customHeight="1" x14ac:dyDescent="0.2">
      <c r="B6" s="101" t="s">
        <v>106</v>
      </c>
      <c r="C6" s="101"/>
      <c r="D6" s="101"/>
      <c r="E6" s="101"/>
      <c r="F6" s="101"/>
    </row>
    <row r="7" spans="2:9" s="20" customFormat="1" ht="24.95" customHeight="1" x14ac:dyDescent="0.2">
      <c r="B7" s="101"/>
      <c r="C7" s="101"/>
      <c r="D7" s="101"/>
      <c r="E7" s="101"/>
      <c r="F7" s="101"/>
    </row>
    <row r="8" spans="2:9" s="20" customFormat="1" ht="24.95" customHeight="1" x14ac:dyDescent="0.2">
      <c r="B8" s="67"/>
      <c r="C8" s="67"/>
      <c r="D8" s="67"/>
      <c r="E8" s="67"/>
      <c r="F8" s="67"/>
    </row>
    <row r="9" spans="2:9" s="20" customFormat="1" ht="24.95" customHeight="1" x14ac:dyDescent="0.2">
      <c r="B9" s="67"/>
      <c r="C9" s="67"/>
      <c r="D9" s="67"/>
      <c r="E9" s="67"/>
      <c r="F9" s="67"/>
    </row>
    <row r="10" spans="2:9" s="20" customFormat="1" ht="24.95" customHeight="1" x14ac:dyDescent="0.2">
      <c r="B10" s="85" t="s">
        <v>108</v>
      </c>
      <c r="C10" s="85"/>
      <c r="D10" s="85"/>
      <c r="E10" s="85"/>
      <c r="F10" s="85"/>
    </row>
    <row r="11" spans="2:9" s="20" customFormat="1" ht="24.95" customHeight="1" x14ac:dyDescent="0.2">
      <c r="B11" s="101" t="s">
        <v>109</v>
      </c>
      <c r="C11" s="101"/>
      <c r="D11" s="101"/>
      <c r="E11" s="101"/>
      <c r="F11" s="101"/>
    </row>
    <row r="12" spans="2:9" s="20" customFormat="1" ht="24.95" customHeight="1" x14ac:dyDescent="0.2">
      <c r="B12" s="101"/>
      <c r="C12" s="101"/>
      <c r="D12" s="101"/>
      <c r="E12" s="101"/>
      <c r="F12" s="101"/>
    </row>
    <row r="13" spans="2:9" s="20" customFormat="1" ht="24.95" customHeight="1" x14ac:dyDescent="0.2">
      <c r="B13" s="67"/>
      <c r="C13" s="67"/>
      <c r="D13" s="67"/>
      <c r="E13" s="67"/>
      <c r="F13" s="67"/>
    </row>
    <row r="14" spans="2:9" s="20" customFormat="1" ht="24.95" customHeight="1" x14ac:dyDescent="0.2">
      <c r="B14" s="67"/>
      <c r="C14" s="67"/>
      <c r="D14" s="67"/>
      <c r="E14" s="67"/>
      <c r="F14" s="67"/>
    </row>
    <row r="15" spans="2:9" s="20" customFormat="1" ht="24.95" customHeight="1" x14ac:dyDescent="0.2">
      <c r="B15" s="85" t="s">
        <v>120</v>
      </c>
      <c r="C15" s="85"/>
      <c r="D15" s="85"/>
      <c r="E15" s="85"/>
      <c r="F15" s="85"/>
    </row>
    <row r="16" spans="2:9" s="20" customFormat="1" ht="24.95" customHeight="1" x14ac:dyDescent="0.2">
      <c r="B16" s="101" t="s">
        <v>121</v>
      </c>
      <c r="C16" s="101"/>
      <c r="D16" s="101"/>
      <c r="E16" s="101"/>
      <c r="F16" s="101"/>
    </row>
    <row r="17" spans="2:6" s="20" customFormat="1" ht="24.95" customHeight="1" x14ac:dyDescent="0.2">
      <c r="B17" s="101"/>
      <c r="C17" s="101"/>
      <c r="D17" s="101"/>
      <c r="E17" s="101"/>
      <c r="F17" s="101"/>
    </row>
    <row r="18" spans="2:6" s="20" customFormat="1" ht="24.95" customHeight="1" x14ac:dyDescent="0.2">
      <c r="B18" s="67"/>
      <c r="C18" s="67"/>
      <c r="D18" s="67"/>
      <c r="E18" s="67"/>
      <c r="F18" s="67"/>
    </row>
    <row r="19" spans="2:6" s="20" customFormat="1" ht="24.95" customHeight="1" x14ac:dyDescent="0.2">
      <c r="B19" s="67"/>
      <c r="C19" s="67"/>
      <c r="D19" s="67"/>
      <c r="E19" s="67"/>
      <c r="F19" s="67"/>
    </row>
    <row r="20" spans="2:6" s="20" customFormat="1" ht="24.95" customHeight="1" x14ac:dyDescent="0.2">
      <c r="B20" s="85" t="s">
        <v>101</v>
      </c>
      <c r="C20" s="85"/>
      <c r="D20" s="85"/>
      <c r="E20" s="85"/>
      <c r="F20" s="85"/>
    </row>
    <row r="21" spans="2:6" s="20" customFormat="1" ht="24.95" customHeight="1" x14ac:dyDescent="0.2">
      <c r="B21" s="101" t="s">
        <v>107</v>
      </c>
      <c r="C21" s="101"/>
      <c r="D21" s="101"/>
      <c r="E21" s="101"/>
      <c r="F21" s="101"/>
    </row>
    <row r="22" spans="2:6" s="20" customFormat="1" ht="24.95" customHeight="1" x14ac:dyDescent="0.2">
      <c r="B22" s="101"/>
      <c r="C22" s="101"/>
      <c r="D22" s="101"/>
      <c r="E22" s="101"/>
      <c r="F22" s="101"/>
    </row>
    <row r="23" spans="2:6" s="20" customFormat="1" ht="24.95" customHeight="1" x14ac:dyDescent="0.2">
      <c r="B23" s="67"/>
      <c r="C23" s="67"/>
      <c r="D23" s="67"/>
      <c r="E23" s="67"/>
      <c r="F23" s="67"/>
    </row>
    <row r="24" spans="2:6" s="20" customFormat="1" ht="24.95" customHeight="1" x14ac:dyDescent="0.2">
      <c r="B24" s="67"/>
      <c r="C24" s="67"/>
      <c r="D24" s="67"/>
      <c r="E24" s="67"/>
      <c r="F24" s="67"/>
    </row>
    <row r="25" spans="2:6" s="20" customFormat="1" ht="24.95" customHeight="1" x14ac:dyDescent="0.2">
      <c r="B25" s="85" t="s">
        <v>85</v>
      </c>
      <c r="C25" s="85"/>
      <c r="D25" s="85"/>
      <c r="E25" s="85"/>
      <c r="F25" s="85"/>
    </row>
    <row r="26" spans="2:6" s="20" customFormat="1" ht="24.95" customHeight="1" x14ac:dyDescent="0.2">
      <c r="B26" s="101" t="s">
        <v>117</v>
      </c>
      <c r="C26" s="101"/>
      <c r="D26" s="101"/>
      <c r="E26" s="101"/>
      <c r="F26" s="101"/>
    </row>
    <row r="27" spans="2:6" s="20" customFormat="1" ht="24.95" customHeight="1" x14ac:dyDescent="0.2">
      <c r="B27" s="101"/>
      <c r="C27" s="101"/>
      <c r="D27" s="101"/>
      <c r="E27" s="101"/>
      <c r="F27" s="101"/>
    </row>
    <row r="28" spans="2:6" s="20" customFormat="1" ht="24.95" customHeight="1" x14ac:dyDescent="0.2">
      <c r="B28" s="67"/>
      <c r="C28" s="67"/>
      <c r="D28" s="67"/>
      <c r="E28" s="67"/>
      <c r="F28" s="67"/>
    </row>
    <row r="29" spans="2:6" s="20" customFormat="1" ht="24.95" customHeight="1" x14ac:dyDescent="0.2">
      <c r="B29" s="67"/>
      <c r="C29" s="67"/>
      <c r="D29" s="67"/>
      <c r="E29" s="67"/>
      <c r="F29" s="67"/>
    </row>
    <row r="30" spans="2:6" s="20" customFormat="1" ht="24.95" customHeight="1" x14ac:dyDescent="0.2">
      <c r="B30" s="85" t="s">
        <v>111</v>
      </c>
      <c r="C30" s="85"/>
      <c r="D30" s="85"/>
      <c r="E30" s="85"/>
      <c r="F30" s="85"/>
    </row>
    <row r="31" spans="2:6" s="20" customFormat="1" ht="24.95" customHeight="1" x14ac:dyDescent="0.2">
      <c r="B31" s="101" t="s">
        <v>118</v>
      </c>
      <c r="C31" s="101"/>
      <c r="D31" s="101"/>
      <c r="E31" s="101"/>
      <c r="F31" s="101"/>
    </row>
    <row r="32" spans="2:6" s="20" customFormat="1" ht="24.95" customHeight="1" x14ac:dyDescent="0.2">
      <c r="B32" s="101"/>
      <c r="C32" s="101"/>
      <c r="D32" s="101"/>
      <c r="E32" s="101"/>
      <c r="F32" s="101"/>
    </row>
    <row r="33" spans="2:7" s="20" customFormat="1" ht="24.95" customHeight="1" x14ac:dyDescent="0.2">
      <c r="B33" s="67"/>
      <c r="C33" s="67"/>
      <c r="D33" s="67"/>
      <c r="E33" s="67"/>
      <c r="F33" s="67"/>
    </row>
    <row r="34" spans="2:7" s="20" customFormat="1" ht="24.95" customHeight="1" x14ac:dyDescent="0.2">
      <c r="B34" s="67"/>
      <c r="C34" s="67"/>
      <c r="D34" s="67"/>
      <c r="E34" s="67"/>
      <c r="F34" s="67"/>
    </row>
    <row r="35" spans="2:7" s="20" customFormat="1" ht="24.95" customHeight="1" x14ac:dyDescent="0.2">
      <c r="B35" s="85" t="s">
        <v>122</v>
      </c>
      <c r="C35" s="85"/>
      <c r="D35" s="85"/>
      <c r="E35" s="85"/>
      <c r="F35" s="85"/>
    </row>
    <row r="36" spans="2:7" s="20" customFormat="1" ht="24.95" customHeight="1" x14ac:dyDescent="0.2">
      <c r="B36" s="101" t="s">
        <v>110</v>
      </c>
      <c r="C36" s="101"/>
      <c r="D36" s="101"/>
      <c r="E36" s="101"/>
      <c r="F36" s="101"/>
    </row>
    <row r="37" spans="2:7" s="20" customFormat="1" ht="24.95" customHeight="1" x14ac:dyDescent="0.2">
      <c r="B37" s="101"/>
      <c r="C37" s="101"/>
      <c r="D37" s="101"/>
      <c r="E37" s="101"/>
      <c r="F37" s="101"/>
    </row>
    <row r="38" spans="2:7" s="20" customFormat="1" ht="24.95" customHeight="1" x14ac:dyDescent="0.2">
      <c r="B38" s="67"/>
      <c r="C38" s="67"/>
      <c r="D38" s="67"/>
      <c r="E38" s="67"/>
      <c r="F38" s="67"/>
    </row>
    <row r="39" spans="2:7" s="20" customFormat="1" ht="24.95" customHeight="1" x14ac:dyDescent="0.2">
      <c r="B39" s="18"/>
      <c r="C39" s="18"/>
      <c r="D39" s="18"/>
      <c r="E39" s="18"/>
      <c r="F39" s="18"/>
      <c r="G39" s="18"/>
    </row>
    <row r="40" spans="2:7" s="20" customFormat="1" ht="24.95" customHeight="1" x14ac:dyDescent="0.2">
      <c r="B40" s="85" t="s">
        <v>115</v>
      </c>
      <c r="C40" s="85"/>
      <c r="D40" s="85"/>
      <c r="E40" s="85"/>
      <c r="F40" s="85"/>
    </row>
    <row r="41" spans="2:7" s="20" customFormat="1" ht="24.95" customHeight="1" x14ac:dyDescent="0.2">
      <c r="B41" s="101" t="s">
        <v>116</v>
      </c>
      <c r="C41" s="101"/>
      <c r="D41" s="101"/>
      <c r="E41" s="101"/>
      <c r="F41" s="101"/>
    </row>
    <row r="42" spans="2:7" s="20" customFormat="1" ht="24.95" customHeight="1" x14ac:dyDescent="0.2">
      <c r="B42" s="101"/>
      <c r="C42" s="101"/>
      <c r="D42" s="101"/>
      <c r="E42" s="101"/>
      <c r="F42" s="101"/>
    </row>
    <row r="43" spans="2:7" s="20" customFormat="1" ht="24.95" customHeight="1" x14ac:dyDescent="0.2">
      <c r="B43" s="67"/>
      <c r="C43" s="67"/>
      <c r="D43" s="67"/>
      <c r="E43" s="67"/>
      <c r="F43" s="67"/>
    </row>
    <row r="44" spans="2:7" s="20" customFormat="1" ht="24.95" customHeight="1" x14ac:dyDescent="0.2">
      <c r="B44" s="18"/>
      <c r="C44" s="31"/>
      <c r="D44" s="31"/>
      <c r="E44" s="31"/>
      <c r="F44" s="31"/>
      <c r="G44" s="18"/>
    </row>
    <row r="45" spans="2:7" s="20" customFormat="1" ht="24.95" customHeight="1" x14ac:dyDescent="0.2">
      <c r="B45" s="85" t="s">
        <v>113</v>
      </c>
      <c r="C45" s="85"/>
      <c r="D45" s="85"/>
      <c r="E45" s="85"/>
      <c r="F45" s="85"/>
    </row>
    <row r="46" spans="2:7" s="20" customFormat="1" ht="24.95" customHeight="1" x14ac:dyDescent="0.2">
      <c r="B46" s="101" t="s">
        <v>114</v>
      </c>
      <c r="C46" s="101"/>
      <c r="D46" s="101"/>
      <c r="E46" s="101"/>
      <c r="F46" s="101"/>
    </row>
    <row r="47" spans="2:7" s="20" customFormat="1" ht="24.95" customHeight="1" x14ac:dyDescent="0.2">
      <c r="B47" s="101"/>
      <c r="C47" s="101"/>
      <c r="D47" s="101"/>
      <c r="E47" s="101"/>
      <c r="F47" s="101"/>
    </row>
    <row r="48" spans="2:7" s="20" customFormat="1" ht="24.95" customHeight="1" x14ac:dyDescent="0.2">
      <c r="B48" s="67"/>
      <c r="C48" s="67"/>
      <c r="D48" s="67"/>
      <c r="E48" s="67"/>
      <c r="F48" s="67"/>
    </row>
    <row r="49" spans="2:6" s="20" customFormat="1" ht="24.95" customHeight="1" x14ac:dyDescent="0.2">
      <c r="C49" s="66"/>
      <c r="D49" s="66"/>
      <c r="E49" s="66"/>
      <c r="F49" s="66"/>
    </row>
    <row r="50" spans="2:6" s="20" customFormat="1" ht="24.95" customHeight="1" x14ac:dyDescent="0.2">
      <c r="B50" s="85" t="s">
        <v>102</v>
      </c>
      <c r="C50" s="85"/>
      <c r="D50" s="85"/>
      <c r="E50" s="85"/>
      <c r="F50" s="85"/>
    </row>
    <row r="51" spans="2:6" s="20" customFormat="1" ht="24.95" customHeight="1" x14ac:dyDescent="0.2">
      <c r="B51" s="101" t="s">
        <v>112</v>
      </c>
      <c r="C51" s="101"/>
      <c r="D51" s="101"/>
      <c r="E51" s="101"/>
      <c r="F51" s="101"/>
    </row>
    <row r="52" spans="2:6" s="20" customFormat="1" ht="24.95" customHeight="1" x14ac:dyDescent="0.2">
      <c r="B52" s="101"/>
      <c r="C52" s="101"/>
      <c r="D52" s="101"/>
      <c r="E52" s="101"/>
      <c r="F52" s="101"/>
    </row>
    <row r="53" spans="2:6" s="20" customFormat="1" ht="24.95" customHeight="1" x14ac:dyDescent="0.2">
      <c r="B53" s="67"/>
      <c r="C53" s="67"/>
      <c r="D53" s="67"/>
      <c r="E53" s="67"/>
      <c r="F53" s="67"/>
    </row>
    <row r="54" spans="2:6" s="20" customFormat="1" ht="30" customHeight="1" x14ac:dyDescent="0.2">
      <c r="C54" s="66"/>
      <c r="D54" s="66"/>
      <c r="E54" s="66"/>
      <c r="F54" s="66"/>
    </row>
    <row r="55" spans="2:6" s="20" customFormat="1" ht="30" customHeight="1" x14ac:dyDescent="0.2">
      <c r="C55" s="66"/>
      <c r="D55" s="66"/>
      <c r="E55" s="66"/>
      <c r="F55" s="66"/>
    </row>
    <row r="56" spans="2:6" s="20" customFormat="1" ht="30" customHeight="1" x14ac:dyDescent="0.2">
      <c r="C56" s="66"/>
      <c r="D56" s="66"/>
      <c r="E56" s="66"/>
      <c r="F56" s="66"/>
    </row>
    <row r="57" spans="2:6" s="20" customFormat="1" ht="30" customHeight="1" x14ac:dyDescent="0.2">
      <c r="C57" s="66"/>
      <c r="D57" s="66"/>
      <c r="E57" s="66"/>
      <c r="F57" s="66"/>
    </row>
    <row r="58" spans="2:6" s="20" customFormat="1" ht="30" customHeight="1" x14ac:dyDescent="0.2">
      <c r="C58" s="66"/>
      <c r="D58" s="66"/>
      <c r="E58" s="66"/>
      <c r="F58" s="66"/>
    </row>
    <row r="59" spans="2:6" s="20" customFormat="1" ht="30" customHeight="1" x14ac:dyDescent="0.2">
      <c r="C59" s="66"/>
      <c r="D59" s="66"/>
      <c r="E59" s="66"/>
      <c r="F59" s="66"/>
    </row>
    <row r="60" spans="2:6" s="20" customFormat="1" ht="30" customHeight="1" x14ac:dyDescent="0.2">
      <c r="C60" s="66"/>
      <c r="D60" s="66"/>
      <c r="E60" s="66"/>
      <c r="F60" s="66"/>
    </row>
    <row r="61" spans="2:6" ht="30" customHeight="1" x14ac:dyDescent="0.2"/>
    <row r="62" spans="2:6" ht="30" customHeight="1" x14ac:dyDescent="0.2"/>
    <row r="63" spans="2:6" ht="30" customHeight="1" x14ac:dyDescent="0.2"/>
    <row r="64" spans="2:6" ht="30" customHeight="1" x14ac:dyDescent="0.2"/>
    <row r="65" ht="30" customHeight="1" x14ac:dyDescent="0.2"/>
    <row r="66" ht="30" customHeight="1" x14ac:dyDescent="0.2"/>
    <row r="67" ht="30" customHeight="1" x14ac:dyDescent="0.2"/>
    <row r="68" ht="30" customHeight="1" x14ac:dyDescent="0.2"/>
    <row r="69" ht="30" customHeight="1" x14ac:dyDescent="0.2"/>
    <row r="70" ht="30" customHeight="1" x14ac:dyDescent="0.2"/>
    <row r="71" ht="30" customHeight="1" x14ac:dyDescent="0.2"/>
    <row r="72" ht="30" customHeight="1" x14ac:dyDescent="0.2"/>
    <row r="73" ht="30" customHeight="1" x14ac:dyDescent="0.2"/>
  </sheetData>
  <sheetProtection algorithmName="SHA-512" hashValue="QIoyZhVExj/hKvdM8qvSop/TDSIUbtTFh9+kEd2QNDpuQvm4hQc/Un2diZ+CpSCKrfodW3dZavUC6u9YA90Ohw==" saltValue="DDAWGg8hviKlD+L7R2bqKA==" spinCount="100000" sheet="1" objects="1" scenarios="1" selectLockedCells="1" selectUnlockedCells="1"/>
  <mergeCells count="22">
    <mergeCell ref="B26:F27"/>
    <mergeCell ref="B21:F22"/>
    <mergeCell ref="B1:I1"/>
    <mergeCell ref="B3:F3"/>
    <mergeCell ref="B15:F15"/>
    <mergeCell ref="B16:F17"/>
    <mergeCell ref="B11:F12"/>
    <mergeCell ref="B5:F5"/>
    <mergeCell ref="B25:F25"/>
    <mergeCell ref="B20:F20"/>
    <mergeCell ref="B10:F10"/>
    <mergeCell ref="B6:F7"/>
    <mergeCell ref="B35:F35"/>
    <mergeCell ref="B36:F37"/>
    <mergeCell ref="B30:F30"/>
    <mergeCell ref="B31:F32"/>
    <mergeCell ref="B40:F40"/>
    <mergeCell ref="B41:F42"/>
    <mergeCell ref="B50:F50"/>
    <mergeCell ref="B51:F52"/>
    <mergeCell ref="B45:F45"/>
    <mergeCell ref="B46:F47"/>
  </mergeCells>
  <pageMargins left="0.7" right="0.7" top="0.75" bottom="0.75" header="0.3" footer="0.3"/>
  <pageSetup scale="57" orientation="portrait" horizontalDpi="4294967293" verticalDpi="0" r:id="rId1"/>
  <headerFooter>
    <oddHeader>&amp;C&amp;"+,Regular"&amp;24&amp;K04-049Vacation Budget Planner</oddHead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B7F4C-ED85-4EE9-B2E8-1E66FFBD67B9}">
  <sheetPr codeName="Sheet6">
    <tabColor rgb="FFE31837"/>
    <pageSetUpPr fitToPage="1"/>
  </sheetPr>
  <dimension ref="B1:I44"/>
  <sheetViews>
    <sheetView showGridLines="0" zoomScaleNormal="100" zoomScalePageLayoutView="55" workbookViewId="0">
      <selection activeCell="F17" sqref="F17"/>
    </sheetView>
  </sheetViews>
  <sheetFormatPr defaultColWidth="8.875" defaultRowHeight="22.15" customHeight="1" x14ac:dyDescent="0.2"/>
  <cols>
    <col min="1" max="1" width="1.875" style="4" customWidth="1"/>
    <col min="2" max="2" width="55.375" style="4" customWidth="1"/>
    <col min="3" max="5" width="19.125" style="5" customWidth="1"/>
    <col min="6" max="6" width="19.125" style="4" customWidth="1"/>
    <col min="7" max="7" width="10.125" style="4" customWidth="1"/>
    <col min="8" max="8" width="9.125" style="4" customWidth="1"/>
    <col min="9" max="9" width="9.5" style="4" customWidth="1"/>
    <col min="10" max="16384" width="8.875" style="4"/>
  </cols>
  <sheetData>
    <row r="1" spans="2:9" s="1" customFormat="1" ht="75" customHeight="1" x14ac:dyDescent="0.2">
      <c r="B1" s="89" t="s">
        <v>77</v>
      </c>
      <c r="C1" s="89"/>
      <c r="D1" s="89"/>
      <c r="E1" s="89"/>
      <c r="F1" s="89"/>
      <c r="G1" s="89"/>
      <c r="H1" s="89"/>
      <c r="I1" s="89"/>
    </row>
    <row r="2" spans="2:9" s="10" customFormat="1" ht="30" customHeight="1" x14ac:dyDescent="0.2">
      <c r="B2" s="9"/>
      <c r="C2" s="9"/>
      <c r="D2" s="9"/>
      <c r="E2" s="9"/>
    </row>
    <row r="3" spans="2:9" s="2" customFormat="1" ht="30" customHeight="1" x14ac:dyDescent="0.2">
      <c r="B3" s="102" t="s">
        <v>104</v>
      </c>
      <c r="C3" s="102"/>
      <c r="D3" s="102"/>
      <c r="E3" s="102"/>
      <c r="F3" s="102"/>
    </row>
    <row r="4" spans="2:9" s="3" customFormat="1" ht="30" customHeight="1" x14ac:dyDescent="0.2">
      <c r="B4" s="12" t="s">
        <v>96</v>
      </c>
      <c r="C4" s="11" t="s">
        <v>78</v>
      </c>
      <c r="D4" s="11" t="s">
        <v>79</v>
      </c>
      <c r="E4" s="11" t="s">
        <v>80</v>
      </c>
      <c r="F4" s="11" t="s">
        <v>87</v>
      </c>
    </row>
    <row r="5" spans="2:9" ht="30" customHeight="1" x14ac:dyDescent="0.2">
      <c r="B5" s="13" t="s">
        <v>81</v>
      </c>
      <c r="C5" s="59">
        <f>IF(Background!$C$5=1,IFERROR(_xlfn.NUMBERVALUE('Income &amp; Resources'!$C$5), 0),"N/A")</f>
        <v>0</v>
      </c>
      <c r="D5" s="59">
        <f>IF(Background!$C$5=2,IFERROR(_xlfn.NUMBERVALUE('Income &amp; Resources'!$C$5), 0),IF(Background!$C$5=1, $C$5*(1+$F$5), "N/A"))</f>
        <v>0</v>
      </c>
      <c r="E5" s="59">
        <f>IF(Background!$C$5=3,IFERROR(_xlfn.NUMBERVALUE('Income &amp; Resources'!$C$5), 0), $D$5*(1+$F$5))</f>
        <v>0</v>
      </c>
      <c r="F5" s="47">
        <v>0.01</v>
      </c>
    </row>
    <row r="6" spans="2:9" ht="30" customHeight="1" x14ac:dyDescent="0.2">
      <c r="B6" s="13" t="s">
        <v>89</v>
      </c>
      <c r="C6" s="59">
        <f>IF(Background!$C$5=1,IFERROR(_xlfn.NUMBERVALUE('Income &amp; Resources'!$C$6), 0),"N/A")</f>
        <v>0</v>
      </c>
      <c r="D6" s="59">
        <f>IF(Background!$C$5=2,IFERROR(_xlfn.NUMBERVALUE('Income &amp; Resources'!$C$6), 0), IF(Background!$C$5=1, 0, "N/A"))</f>
        <v>0</v>
      </c>
      <c r="E6" s="59">
        <f>IF(Background!$C$5=3,IFERROR(_xlfn.NUMBERVALUE('Income &amp; Resources'!$C$6), 0), 0)</f>
        <v>0</v>
      </c>
      <c r="F6" s="48">
        <v>0</v>
      </c>
    </row>
    <row r="7" spans="2:9" ht="30" customHeight="1" x14ac:dyDescent="0.2">
      <c r="B7" s="13" t="s">
        <v>82</v>
      </c>
      <c r="C7" s="59">
        <f>IF(Background!$C$5=1,IFERROR(_xlfn.NUMBERVALUE('Income &amp; Resources'!$C$7), 0),"N/A")</f>
        <v>0</v>
      </c>
      <c r="D7" s="59">
        <f>IF(Background!$C$5=2,IFERROR(_xlfn.NUMBERVALUE('Income &amp; Resources'!$C$7), 0), IF(Background!$C$5=1, 0, "N/A"))</f>
        <v>0</v>
      </c>
      <c r="E7" s="59">
        <f>IF(Background!$C$5=3,IFERROR(_xlfn.NUMBERVALUE('Income &amp; Resources'!$C$7), 0), 0)</f>
        <v>0</v>
      </c>
      <c r="F7" s="48">
        <v>0</v>
      </c>
    </row>
    <row r="8" spans="2:9" ht="30" customHeight="1" x14ac:dyDescent="0.2">
      <c r="B8" s="13" t="s">
        <v>83</v>
      </c>
      <c r="C8" s="59">
        <f>IF(Background!$C$5=1,IFERROR(_xlfn.NUMBERVALUE('Income &amp; Resources'!$C$8), 0),"N/A")</f>
        <v>0</v>
      </c>
      <c r="D8" s="59">
        <f>IF(Background!$C$5=2,IFERROR(_xlfn.NUMBERVALUE('Income &amp; Resources'!$C$8), 0), IF(Background!$C$5=1, 0, "N/A"))</f>
        <v>0</v>
      </c>
      <c r="E8" s="59">
        <f>IF(Background!$C$5=3,IFERROR(_xlfn.NUMBERVALUE('Income &amp; Resources'!$C$8), 0), 0)</f>
        <v>0</v>
      </c>
      <c r="F8" s="48">
        <v>0</v>
      </c>
    </row>
    <row r="9" spans="2:9" ht="30" customHeight="1" x14ac:dyDescent="0.2">
      <c r="B9" s="13" t="s">
        <v>84</v>
      </c>
      <c r="C9" s="59">
        <f>IF(Background!$C$5=1,IFERROR(_xlfn.NUMBERVALUE('Income &amp; Resources'!$C$9), 0),"N/A")</f>
        <v>0</v>
      </c>
      <c r="D9" s="59">
        <f>IF(Background!$C$5=2,IFERROR(_xlfn.NUMBERVALUE('Income &amp; Resources'!$C$9), 0),IF(Background!$C$5=1, $C$9*(1+$F$9), "N/A"))</f>
        <v>0</v>
      </c>
      <c r="E9" s="59">
        <f>IF(Background!$C$5=3,IFERROR(_xlfn.NUMBERVALUE('Income &amp; Resources'!$C$9), 0), $D$9*(1+$F$9))</f>
        <v>0</v>
      </c>
      <c r="F9" s="48">
        <v>0.1</v>
      </c>
      <c r="I9" s="76"/>
    </row>
    <row r="10" spans="2:9" ht="30" customHeight="1" x14ac:dyDescent="0.2">
      <c r="B10" s="13" t="s">
        <v>85</v>
      </c>
      <c r="C10" s="59">
        <f>IF(Background!$C$5=1,IFERROR(_xlfn.NUMBERVALUE('Income &amp; Resources'!$C$10), 0),"N/A")</f>
        <v>0</v>
      </c>
      <c r="D10" s="59">
        <f>IF(Background!$C$5=2,IFERROR(_xlfn.NUMBERVALUE('Income &amp; Resources'!$C$10), 0), IF(Background!$C$5=1, 0, "N/A"))</f>
        <v>0</v>
      </c>
      <c r="E10" s="59">
        <f>IF(Background!$C$5=3,IFERROR(_xlfn.NUMBERVALUE('Income &amp; Resources'!$C$10), 0), 0)</f>
        <v>0</v>
      </c>
      <c r="F10" s="48">
        <v>0</v>
      </c>
    </row>
    <row r="11" spans="2:9" ht="30" customHeight="1" thickBot="1" x14ac:dyDescent="0.25">
      <c r="B11" s="13" t="s">
        <v>86</v>
      </c>
      <c r="C11" s="59">
        <f>IF(Background!$C$5=1,IFERROR(_xlfn.NUMBERVALUE('Income &amp; Resources'!$C$11), 0),"N/A")</f>
        <v>0</v>
      </c>
      <c r="D11" s="59">
        <f>IF(Background!$C$5=2,IFERROR(_xlfn.NUMBERVALUE('Income &amp; Resources'!$C$11), 0),IF(Background!$C$5=1, $C$11*(1+$F$11), "N/A"))</f>
        <v>0</v>
      </c>
      <c r="E11" s="59">
        <f>IF(Background!$C$5=3,IFERROR(_xlfn.NUMBERVALUE('Income &amp; Resources'!$C$11), 0), $D$11*(1+$F$11))</f>
        <v>0</v>
      </c>
      <c r="F11" s="48">
        <v>0.01</v>
      </c>
    </row>
    <row r="12" spans="2:9" ht="30" customHeight="1" thickTop="1" x14ac:dyDescent="0.2">
      <c r="B12" s="15" t="s">
        <v>90</v>
      </c>
      <c r="C12" s="60">
        <f>IF(ISNUMBER($C$5),$C$5*8+SUM($C$6:$C$11),0)</f>
        <v>0</v>
      </c>
      <c r="D12" s="60">
        <f>IF(ISNUMBER($D$5),$D$5*8+SUM($D$6:$D$11),0)</f>
        <v>0</v>
      </c>
      <c r="E12" s="60">
        <f t="shared" ref="E12" si="0">IF(ISNUMBER($E$5),$E$5*8+SUM($E$6:$E$11),0)</f>
        <v>0</v>
      </c>
      <c r="F12" s="56">
        <f>SUM($C$12:$E$12)</f>
        <v>0</v>
      </c>
    </row>
    <row r="13" spans="2:9" ht="30" customHeight="1" x14ac:dyDescent="0.2">
      <c r="B13" s="50"/>
      <c r="C13" s="51"/>
      <c r="D13" s="51"/>
      <c r="E13" s="51"/>
      <c r="F13" s="49"/>
    </row>
    <row r="14" spans="2:9" ht="30" customHeight="1" x14ac:dyDescent="0.2">
      <c r="B14" s="102" t="s">
        <v>129</v>
      </c>
      <c r="C14" s="102"/>
      <c r="D14" s="102"/>
      <c r="E14" s="102"/>
      <c r="F14" s="102"/>
    </row>
    <row r="15" spans="2:9" ht="30" customHeight="1" x14ac:dyDescent="0.2">
      <c r="B15" s="12" t="s">
        <v>4</v>
      </c>
      <c r="C15" s="11" t="s">
        <v>78</v>
      </c>
      <c r="D15" s="11" t="s">
        <v>79</v>
      </c>
      <c r="E15" s="11" t="s">
        <v>80</v>
      </c>
      <c r="F15" s="46" t="s">
        <v>87</v>
      </c>
    </row>
    <row r="16" spans="2:9" ht="30" customHeight="1" x14ac:dyDescent="0.2">
      <c r="B16" s="13" t="s">
        <v>9</v>
      </c>
      <c r="C16" s="59">
        <f>IF(Background!$C$5=1,IFERROR(_xlfn.NUMBERVALUE('Expenses &amp; Debt'!$C$5),0),"N/A")</f>
        <v>0</v>
      </c>
      <c r="D16" s="59">
        <f>IF(Background!$C$5=2,IFERROR(_xlfn.NUMBERVALUE('Expenses &amp; Debt'!$C$5),0), IF(Background!$C$5=1, $C$16*(1+$F$16), "N/A"))</f>
        <v>0</v>
      </c>
      <c r="E16" s="59">
        <f>IF(Background!$C$5=3,IFERROR(_xlfn.NUMBERVALUE('Expenses &amp; Debt'!$C$5),0), $D$16*(1+$F$16))</f>
        <v>0</v>
      </c>
      <c r="F16" s="47">
        <v>0.02</v>
      </c>
    </row>
    <row r="17" spans="2:8" ht="30" customHeight="1" x14ac:dyDescent="0.2">
      <c r="B17" s="13" t="s">
        <v>10</v>
      </c>
      <c r="C17" s="59">
        <f>IF(Background!$C$5=1,IFERROR(_xlfn.NUMBERVALUE('Expenses &amp; Debt'!$C$6),0),"N/A")</f>
        <v>0</v>
      </c>
      <c r="D17" s="59">
        <f>IF(Background!$C$5=2,IFERROR(_xlfn.NUMBERVALUE('Expenses &amp; Debt'!$C$6),0), IF(Background!$C$5=1, $C$17*(1+$F$17), "N/A"))</f>
        <v>0</v>
      </c>
      <c r="E17" s="59">
        <f>IF(Background!$C$5=3,IFERROR(_xlfn.NUMBERVALUE('Expenses &amp; Debt'!$C$6),0), $D$17*(1+$F$17))</f>
        <v>0</v>
      </c>
      <c r="F17" s="48">
        <v>4.87E-2</v>
      </c>
    </row>
    <row r="18" spans="2:8" s="2" customFormat="1" ht="30" customHeight="1" x14ac:dyDescent="0.2">
      <c r="B18" s="13" t="s">
        <v>11</v>
      </c>
      <c r="C18" s="59">
        <f>IF(Background!$C$5=1,IFERROR(_xlfn.NUMBERVALUE('Expenses &amp; Debt'!$C$7),0),"N/A")</f>
        <v>0</v>
      </c>
      <c r="D18" s="59">
        <f>IF(Background!$C$5=2,IFERROR(_xlfn.NUMBERVALUE('Expenses &amp; Debt'!$C$7),0), IF(Background!$C$5=1, $C$18*(1+$F$18), "N/A"))</f>
        <v>0</v>
      </c>
      <c r="E18" s="59">
        <f>IF(Background!$C$5=3,IFERROR(_xlfn.NUMBERVALUE('Expenses &amp; Debt'!$C$7),0), $D$18*(1+$F$18))</f>
        <v>0</v>
      </c>
      <c r="F18" s="48">
        <v>0</v>
      </c>
    </row>
    <row r="19" spans="2:8" ht="30" customHeight="1" x14ac:dyDescent="0.2">
      <c r="B19" s="13" t="s">
        <v>12</v>
      </c>
      <c r="C19" s="59">
        <f>IF(Background!$C$5=1,IFERROR(_xlfn.NUMBERVALUE('Expenses &amp; Debt'!$C$8),0),"N/A")</f>
        <v>0</v>
      </c>
      <c r="D19" s="59">
        <f>IF(Background!$C$5=2,IFERROR(_xlfn.NUMBERVALUE('Expenses &amp; Debt'!$C$8),0), IF(Background!$C$5=1, $C$19*(1+$F$19), "N/A"))</f>
        <v>0</v>
      </c>
      <c r="E19" s="59">
        <f>IF(Background!$C$5=3,IFERROR(_xlfn.NUMBERVALUE('Expenses &amp; Debt'!$C$8),0), $D$19*(1+$F$19))</f>
        <v>0</v>
      </c>
      <c r="F19" s="68">
        <v>2.1999999999999999E-2</v>
      </c>
    </row>
    <row r="20" spans="2:8" ht="30" customHeight="1" x14ac:dyDescent="0.2">
      <c r="B20" s="13" t="s">
        <v>0</v>
      </c>
      <c r="C20" s="59">
        <f>IF(Background!$C$5=1,IFERROR(_xlfn.NUMBERVALUE('Expenses &amp; Debt'!$C$9),0),"N/A")</f>
        <v>0</v>
      </c>
      <c r="D20" s="59">
        <f>IF(Background!$C$5=2,IFERROR(_xlfn.NUMBERVALUE('Expenses &amp; Debt'!$C$9),0), IF(Background!$C$5=1, $C$20*(1+$F$20), "N/A"))</f>
        <v>0</v>
      </c>
      <c r="E20" s="59">
        <f>IF(Background!$C$5=3,IFERROR(_xlfn.NUMBERVALUE('Expenses &amp; Debt'!$C$9),0), $D$20*(1+$F$20))</f>
        <v>0</v>
      </c>
      <c r="F20" s="68">
        <v>0</v>
      </c>
    </row>
    <row r="21" spans="2:8" ht="30" customHeight="1" x14ac:dyDescent="0.2">
      <c r="B21" s="13" t="s">
        <v>1</v>
      </c>
      <c r="C21" s="59">
        <f>IF(Background!$C$5=1,IFERROR(_xlfn.NUMBERVALUE('Expenses &amp; Debt'!$C$10),0),"N/A")</f>
        <v>0</v>
      </c>
      <c r="D21" s="59">
        <f>IF(Background!$C$5=2,IFERROR(_xlfn.NUMBERVALUE('Expenses &amp; Debt'!$C$10),0), IF(Background!$C$5=1, $C$21*(1+$F$21), "N/A"))</f>
        <v>0</v>
      </c>
      <c r="E21" s="59">
        <f>IF(Background!$C$5=3,IFERROR(_xlfn.NUMBERVALUE('Expenses &amp; Debt'!$C$10),0), $D$21*(1+$F$21))</f>
        <v>0</v>
      </c>
      <c r="F21" s="68">
        <v>2.1999999999999999E-2</v>
      </c>
    </row>
    <row r="22" spans="2:8" ht="30" customHeight="1" x14ac:dyDescent="0.2">
      <c r="B22" s="13" t="s">
        <v>13</v>
      </c>
      <c r="C22" s="59">
        <f>IF(Background!$C$5=1,IFERROR(_xlfn.NUMBERVALUE('Expenses &amp; Debt'!$C$11),0),"N/A")</f>
        <v>0</v>
      </c>
      <c r="D22" s="59">
        <f>IF(Background!$C$5=2,IFERROR(_xlfn.NUMBERVALUE('Expenses &amp; Debt'!$C$11),0), IF(Background!$C$5=1, $C$22*(1+$F$22), "N/A"))</f>
        <v>0</v>
      </c>
      <c r="E22" s="59">
        <f>IF(Background!$C$5=3,IFERROR(_xlfn.NUMBERVALUE('Expenses &amp; Debt'!$C$11),0), $D$22*(1+$F$22))</f>
        <v>0</v>
      </c>
      <c r="F22" s="68">
        <v>0</v>
      </c>
    </row>
    <row r="23" spans="2:8" ht="30" customHeight="1" x14ac:dyDescent="0.2">
      <c r="B23" s="13" t="s">
        <v>14</v>
      </c>
      <c r="C23" s="59">
        <f>IF(Background!$C$5=1,IFERROR(_xlfn.NUMBERVALUE('Expenses &amp; Debt'!$C$12),0),"N/A")</f>
        <v>0</v>
      </c>
      <c r="D23" s="59">
        <f>IF(Background!$C$5=2,IFERROR(_xlfn.NUMBERVALUE('Expenses &amp; Debt'!$C$12),0), IF(Background!$C$5=1, $C$23*(1+$F$23), "N/A"))</f>
        <v>0</v>
      </c>
      <c r="E23" s="59">
        <f>IF(Background!$C$5=3,IFERROR(_xlfn.NUMBERVALUE('Expenses &amp; Debt'!$C$12),0), $D$23*(1+$F$23))</f>
        <v>0</v>
      </c>
      <c r="F23" s="68">
        <v>0</v>
      </c>
    </row>
    <row r="24" spans="2:8" ht="30" customHeight="1" x14ac:dyDescent="0.2">
      <c r="B24" s="13" t="s">
        <v>15</v>
      </c>
      <c r="C24" s="59">
        <f>IF(Background!$C$5=1,IFERROR(_xlfn.NUMBERVALUE('Expenses &amp; Debt'!$C$13),0),"N/A")</f>
        <v>0</v>
      </c>
      <c r="D24" s="59">
        <f>IF(Background!$C$5=2,IFERROR(_xlfn.NUMBERVALUE('Expenses &amp; Debt'!$C$13),0), IF(Background!$C$5=1, $C$24*(1+$F$24), "N/A"))</f>
        <v>0</v>
      </c>
      <c r="E24" s="59">
        <f>IF(Background!$C$5=3,IFERROR(_xlfn.NUMBERVALUE('Expenses &amp; Debt'!$C$13),0), $D$24*(1+$F$24))</f>
        <v>0</v>
      </c>
      <c r="F24" s="68">
        <v>0</v>
      </c>
    </row>
    <row r="25" spans="2:8" ht="30" customHeight="1" x14ac:dyDescent="0.2">
      <c r="B25" s="13" t="s">
        <v>16</v>
      </c>
      <c r="C25" s="59">
        <f>IF(Background!$C$5=1,IFERROR(_xlfn.NUMBERVALUE('Expenses &amp; Debt'!$C$14),0),"N/A")</f>
        <v>0</v>
      </c>
      <c r="D25" s="59">
        <f>IF(Background!$C$5=2,IFERROR(_xlfn.NUMBERVALUE('Expenses &amp; Debt'!$C$14),0), IF(Background!$C$5=1, $C$25*(1+$F$25), "N/A"))</f>
        <v>0</v>
      </c>
      <c r="E25" s="59">
        <f>IF(Background!$C$5=3,IFERROR(_xlfn.NUMBERVALUE('Expenses &amp; Debt'!$C$14),0), $D$25*(1+$F$25))</f>
        <v>0</v>
      </c>
      <c r="F25" s="68">
        <v>2.1999999999999999E-2</v>
      </c>
    </row>
    <row r="26" spans="2:8" ht="30" customHeight="1" x14ac:dyDescent="0.2">
      <c r="B26" s="13" t="s">
        <v>21</v>
      </c>
      <c r="C26" s="59">
        <f>IF(Background!$C$5=1,IFERROR(_xlfn.NUMBERVALUE('Expenses &amp; Debt'!$C$15),0),"N/A")</f>
        <v>0</v>
      </c>
      <c r="D26" s="59">
        <f>IF(Background!$C$5=2,IFERROR(_xlfn.NUMBERVALUE('Expenses &amp; Debt'!$C$15),0), IF(Background!$C$5=1, $C$26*(1+$F$26), "N/A"))</f>
        <v>0</v>
      </c>
      <c r="E26" s="59">
        <f>IF(Background!$C$5=3,IFERROR(_xlfn.NUMBERVALUE('Expenses &amp; Debt'!$C$15),0), $D$26*(1+$F$26))</f>
        <v>0</v>
      </c>
      <c r="F26" s="48">
        <v>2.5000000000000001E-2</v>
      </c>
      <c r="H26" s="28"/>
    </row>
    <row r="27" spans="2:8" ht="30" customHeight="1" thickBot="1" x14ac:dyDescent="0.25">
      <c r="B27" s="13" t="s">
        <v>17</v>
      </c>
      <c r="C27" s="59">
        <f>IF(Background!$C$5=1,IFERROR(_xlfn.NUMBERVALUE('Expenses &amp; Debt'!$C$16),0),"N/A")</f>
        <v>0</v>
      </c>
      <c r="D27" s="59">
        <f>IF(Background!$C$5=2,IFERROR(_xlfn.NUMBERVALUE('Expenses &amp; Debt'!$C$16),0), IF(Background!$C$5=1, $C$27*(1+$F$27), "N/A"))</f>
        <v>0</v>
      </c>
      <c r="E27" s="59">
        <f>IF(Background!$C$5=3,IFERROR(_xlfn.NUMBERVALUE('Expenses &amp; Debt'!$C$16),0), $D$27*(1+$F$27))</f>
        <v>0</v>
      </c>
      <c r="F27" s="48">
        <v>0</v>
      </c>
      <c r="H27" s="28"/>
    </row>
    <row r="28" spans="2:8" ht="30" customHeight="1" thickTop="1" x14ac:dyDescent="0.2">
      <c r="B28" s="15" t="s">
        <v>59</v>
      </c>
      <c r="C28" s="60">
        <f>SUM($C$16:$C$27)</f>
        <v>0</v>
      </c>
      <c r="D28" s="60">
        <f>SUM($D$16:$D$27)</f>
        <v>0</v>
      </c>
      <c r="E28" s="60">
        <f>SUM($E$16:$E$27)</f>
        <v>0</v>
      </c>
      <c r="F28" s="57">
        <f>SUM($C$28:$E$28)</f>
        <v>0</v>
      </c>
    </row>
    <row r="29" spans="2:8" ht="30" customHeight="1" x14ac:dyDescent="0.2">
      <c r="B29" s="50"/>
      <c r="C29" s="69"/>
      <c r="D29" s="69"/>
      <c r="E29" s="69"/>
      <c r="F29" s="58"/>
    </row>
    <row r="30" spans="2:8" ht="30" customHeight="1" x14ac:dyDescent="0.2">
      <c r="B30" s="102" t="s">
        <v>130</v>
      </c>
      <c r="C30" s="102"/>
      <c r="D30" s="102"/>
      <c r="E30" s="102"/>
      <c r="F30" s="102"/>
    </row>
    <row r="31" spans="2:8" ht="30" customHeight="1" x14ac:dyDescent="0.2">
      <c r="B31" s="80" t="s">
        <v>132</v>
      </c>
      <c r="C31" s="81" t="s">
        <v>78</v>
      </c>
      <c r="D31" s="81" t="s">
        <v>79</v>
      </c>
      <c r="E31" s="81" t="s">
        <v>80</v>
      </c>
      <c r="F31" s="72" t="s">
        <v>131</v>
      </c>
    </row>
    <row r="32" spans="2:8" ht="30" customHeight="1" x14ac:dyDescent="0.2">
      <c r="B32" s="78" t="s">
        <v>56</v>
      </c>
      <c r="C32" s="79">
        <f>IF(Background!$C$5=1,IFERROR(_xlfn.NUMBERVALUE('Expenses &amp; Debt'!$C$17),0),"N/A")</f>
        <v>0</v>
      </c>
      <c r="D32" s="79">
        <f>IF(Background!$C$5=2,IFERROR(_xlfn.NUMBERVALUE('Expenses &amp; Debt'!$C$17),0), IF(Background!$C$5=1, $C$32+('Budgeting Tables'!$K$5-'Budgeting Tables'!$K$4), "N/A"))</f>
        <v>11377.597047566975</v>
      </c>
      <c r="E32" s="79">
        <f>IF(Background!$C$5=3,IFERROR(_xlfn.NUMBERVALUE('Expenses &amp; Debt'!$C$17),0), $D$32+('Budgeting Tables'!$K$6-'Budgeting Tables'!$K$5))</f>
        <v>24585.802810278838</v>
      </c>
      <c r="F32" s="77">
        <f>IF(Background!$C$5=1,AVERAGE($D$32-$C$32,$E$32-$D$32),IF(Background!$C$5=2,$E$32-$D$32,0))</f>
        <v>12292.901405139419</v>
      </c>
    </row>
    <row r="33" spans="2:6" ht="30" customHeight="1" thickBot="1" x14ac:dyDescent="0.25">
      <c r="B33" s="71" t="s">
        <v>57</v>
      </c>
      <c r="C33" s="70">
        <f>IF(Background!$C$5=1,IFERROR(_xlfn.NUMBERVALUE('Expenses &amp; Debt'!$C$18),0),"N/A")</f>
        <v>0</v>
      </c>
      <c r="D33" s="70">
        <f>IF(Background!$C$5=2,IFERROR(_xlfn.NUMBERVALUE('Expenses &amp; Debt'!$C$18),0), IF(Background!$C$5=1, $C$33+('Budgeting Tables'!$J$5-'Budgeting Tables'!$J$4), "N/A"))</f>
        <v>13159.554692910518</v>
      </c>
      <c r="E33" s="70">
        <f>IF(Background!$C$5=3,IFERROR(_xlfn.NUMBERVALUE('Expenses &amp; Debt'!$C$18),0), $D$33+('Budgeting Tables'!$J$6-'Budgeting Tables'!$J$5))</f>
        <v>40880.648365226894</v>
      </c>
      <c r="F33" s="75">
        <f>IF(Background!$C$5=1,AVERAGE($D$33-$C$33,$E$33-$D$33),IF(Background!$C$5=2,$E$33-$D$33,0))</f>
        <v>20440.324182613447</v>
      </c>
    </row>
    <row r="34" spans="2:6" ht="30" customHeight="1" thickTop="1" x14ac:dyDescent="0.2">
      <c r="B34" s="73" t="s">
        <v>58</v>
      </c>
      <c r="C34" s="74">
        <f>SUM($C$32:$C$33)</f>
        <v>0</v>
      </c>
      <c r="D34" s="74">
        <f>SUM($D$32:$D$33)</f>
        <v>24537.151740477493</v>
      </c>
      <c r="E34" s="74">
        <f>SUM($E$32:$E$33)</f>
        <v>65466.451175505732</v>
      </c>
      <c r="F34" s="74">
        <f>SUM($F$32:$F$33)</f>
        <v>32733.225587752866</v>
      </c>
    </row>
    <row r="35" spans="2:6" ht="30" customHeight="1" x14ac:dyDescent="0.2"/>
    <row r="36" spans="2:6" ht="30" customHeight="1" x14ac:dyDescent="0.2">
      <c r="B36" s="102" t="s">
        <v>105</v>
      </c>
      <c r="C36" s="102"/>
      <c r="D36" s="102"/>
      <c r="E36" s="102"/>
      <c r="F36" s="102"/>
    </row>
    <row r="37" spans="2:6" ht="30" customHeight="1" x14ac:dyDescent="0.2">
      <c r="B37" s="12" t="s">
        <v>92</v>
      </c>
      <c r="C37" s="53" t="s">
        <v>78</v>
      </c>
      <c r="D37" s="53" t="s">
        <v>79</v>
      </c>
      <c r="E37" s="53" t="s">
        <v>80</v>
      </c>
      <c r="F37" s="55" t="s">
        <v>94</v>
      </c>
    </row>
    <row r="38" spans="2:6" ht="30" customHeight="1" x14ac:dyDescent="0.2">
      <c r="B38" s="52" t="s">
        <v>90</v>
      </c>
      <c r="C38" s="61">
        <f t="shared" ref="C38" si="1">$C$12</f>
        <v>0</v>
      </c>
      <c r="D38" s="61">
        <f t="shared" ref="D38" si="2">$D$12</f>
        <v>0</v>
      </c>
      <c r="E38" s="61">
        <f t="shared" ref="E38" si="3">$E$12</f>
        <v>0</v>
      </c>
      <c r="F38" s="64">
        <f>SUM($C$38:$E$38)</f>
        <v>0</v>
      </c>
    </row>
    <row r="39" spans="2:6" ht="30" customHeight="1" x14ac:dyDescent="0.2">
      <c r="B39" s="13" t="s">
        <v>59</v>
      </c>
      <c r="C39" s="62">
        <f>$C$28</f>
        <v>0</v>
      </c>
      <c r="D39" s="62">
        <f>$D$28</f>
        <v>0</v>
      </c>
      <c r="E39" s="62">
        <f>$E$28</f>
        <v>0</v>
      </c>
      <c r="F39" s="65">
        <f>SUM($C$39:$E$39)</f>
        <v>0</v>
      </c>
    </row>
    <row r="40" spans="2:6" ht="30" customHeight="1" x14ac:dyDescent="0.2">
      <c r="B40" s="52" t="s">
        <v>58</v>
      </c>
      <c r="C40" s="61">
        <f>$C$34</f>
        <v>0</v>
      </c>
      <c r="D40" s="61">
        <f>$D$34</f>
        <v>24537.151740477493</v>
      </c>
      <c r="E40" s="61">
        <f>$E$34</f>
        <v>65466.451175505732</v>
      </c>
      <c r="F40" s="64">
        <f>$E$40</f>
        <v>65466.451175505732</v>
      </c>
    </row>
    <row r="41" spans="2:6" ht="30" customHeight="1" x14ac:dyDescent="0.2">
      <c r="B41" s="13" t="s">
        <v>142</v>
      </c>
      <c r="C41" s="62">
        <f>C38-C39</f>
        <v>0</v>
      </c>
      <c r="D41" s="62">
        <f t="shared" ref="D41:E41" si="4">D38-D39</f>
        <v>0</v>
      </c>
      <c r="E41" s="62">
        <f t="shared" si="4"/>
        <v>0</v>
      </c>
      <c r="F41" s="65">
        <f>SUM($C$41:$E$41)</f>
        <v>0</v>
      </c>
    </row>
    <row r="42" spans="2:6" ht="30" customHeight="1" x14ac:dyDescent="0.2">
      <c r="B42" s="52" t="s">
        <v>91</v>
      </c>
      <c r="C42" s="61">
        <f>IF(Background!$C$5=1,_xlfn.LET(_xlpm.lvl,Background!$C$5,_xlpm.s,SUM($C$40,IF($C$41&lt;0,-$C$41,-$C$41)),_xlpm.mins,CHOOSE(_xlpm.lvl,'Budgeting Tables'!$K$9:$K$13,'Budgeting Tables'!$K$15:$K$19,'Budgeting Tables'!$K$21:$K$25),_xlpm.amts,CHOOSE(_xlpm.lvl,'Budgeting Tables'!$J$9:$J$13,'Budgeting Tables'!$J$15:$J$19,'Budgeting Tables'!$J$21:$J$25),IF(_xlpm.s&lt;=INDEX(_xlpm.mins,1),0,LOOKUP(_xlpm.s,_xlpm.mins,_xlpm.amts))),0)</f>
        <v>0</v>
      </c>
      <c r="D42" s="61">
        <f>IF(Background!$C$5=1,_xlfn.LET(_xlpm.lvl,Background!$C$5+1,_xlpm.s,SUM($D$40,IF($D$41&lt;0,-$D$41,-$D$41)),_xlpm.mins,CHOOSE(_xlpm.lvl,'Budgeting Tables'!$K$9:$K$13,'Budgeting Tables'!$K$15:$K$19,'Budgeting Tables'!$K$21:$K$25),_xlpm.amts,CHOOSE(_xlpm.lvl,'Budgeting Tables'!$J$9:$J$13,'Budgeting Tables'!$J$15:$J$19,'Budgeting Tables'!$J$21:$J$25),IF(_xlpm.s&lt;=INDEX(_xlpm.mins,1),0,LOOKUP(_xlpm.s,_xlpm.mins,_xlpm.amts))), IF(Background!$C$5=2,_xlfn.LET(_xlpm.lvl,Background!$C$5,_xlpm.s,SUM($D$40,IF($D$41&lt;0,-$D$41,-$D$41)),_xlpm.mins,CHOOSE(_xlpm.lvl,'Budgeting Tables'!$K$9:$K$13,'Budgeting Tables'!$K$15:$K$19,'Budgeting Tables'!$K$21:$K$25),_xlpm.amts,CHOOSE(_xlpm.lvl,'Budgeting Tables'!$J$9:$J$13,'Budgeting Tables'!$J$15:$J$19,'Budgeting Tables'!$J$21:$J$25),IF(_xlpm.s&lt;=INDEX(_xlpm.mins,1),0,LOOKUP(_xlpm.s,_xlpm.mins,_xlpm.amts))),0))</f>
        <v>1500</v>
      </c>
      <c r="E42" s="61">
        <f>IF(Background!$C$5=1,_xlfn.LET(_xlpm.lvl,Background!$C$5+2,_xlpm.s,SUM($E$40,IF($E$41&lt;0,-$E$41,-$E$41)),_xlpm.mins,CHOOSE(_xlpm.lvl,'Budgeting Tables'!$K$9:$K$13,'Budgeting Tables'!$K$15:$K$19,'Budgeting Tables'!$K$21:$K$25),_xlpm.amts,CHOOSE(_xlpm.lvl,'Budgeting Tables'!$J$9:$J$13,'Budgeting Tables'!$J$15:$J$19,'Budgeting Tables'!$J$21:$J$25),IF(_xlpm.s&lt;=INDEX(_xlpm.mins,1),0,LOOKUP(_xlpm.s,_xlpm.mins,_xlpm.amts))), IF(Background!$C$5=2,_xlfn.LET(_xlpm.lvl,Background!$C$5+1,_xlpm.s,SUM($E$40,IF($E$41&lt;0,-$E$41,-$E$41)),_xlpm.mins,CHOOSE(_xlpm.lvl,'Budgeting Tables'!$K$9:$K$13,'Budgeting Tables'!$K$15:$K$19,'Budgeting Tables'!$K$21:$K$25),_xlpm.amts,CHOOSE(_xlpm.lvl,'Budgeting Tables'!$J$9:$J$13,'Budgeting Tables'!$J$15:$J$19,'Budgeting Tables'!$J$21:$J$25),IF(_xlpm.s&lt;=INDEX(_xlpm.mins,1),0,LOOKUP(_xlpm.s,_xlpm.mins,_xlpm.amts))),_xlfn.LET(_xlpm.lvl,Background!$C$5,_xlpm.s,SUM($E$40,IF($E$41&lt;0,-$E$41,-$E$41)),_xlpm.mins,CHOOSE(_xlpm.lvl,'Budgeting Tables'!$K$9:$K$13,'Budgeting Tables'!$K$15:$K$19,'Budgeting Tables'!$K$21:$K$25),_xlpm.amts,CHOOSE(_xlpm.lvl,'Budgeting Tables'!$J$9:$J$13,'Budgeting Tables'!$J$15:$J$19,'Budgeting Tables'!$J$21:$J$25),IF(_xlpm.s&lt;=INDEX(_xlpm.mins,1),0,LOOKUP(_xlpm.s,_xlpm.mins,_xlpm.amts)))))</f>
        <v>3000</v>
      </c>
      <c r="F42" s="64">
        <f>SUM($C$42:$E$42)</f>
        <v>4500</v>
      </c>
    </row>
    <row r="43" spans="2:6" ht="30" customHeight="1" thickBot="1" x14ac:dyDescent="0.25">
      <c r="B43" s="13" t="s">
        <v>93</v>
      </c>
      <c r="C43" s="62">
        <f>C42+C38</f>
        <v>0</v>
      </c>
      <c r="D43" s="62">
        <f t="shared" ref="D43:E43" si="5">D42+D38</f>
        <v>1500</v>
      </c>
      <c r="E43" s="62">
        <f t="shared" si="5"/>
        <v>3000</v>
      </c>
      <c r="F43" s="65">
        <f>SUM($C$43:$E$43)</f>
        <v>4500</v>
      </c>
    </row>
    <row r="44" spans="2:6" ht="30" customHeight="1" thickTop="1" x14ac:dyDescent="0.2">
      <c r="B44" s="54" t="s">
        <v>141</v>
      </c>
      <c r="C44" s="63">
        <f>C43-C39</f>
        <v>0</v>
      </c>
      <c r="D44" s="63">
        <f t="shared" ref="D44:E44" si="6">D43-D39</f>
        <v>1500</v>
      </c>
      <c r="E44" s="63">
        <f t="shared" si="6"/>
        <v>3000</v>
      </c>
      <c r="F44" s="63">
        <f>F43-F39</f>
        <v>4500</v>
      </c>
    </row>
  </sheetData>
  <sheetProtection algorithmName="SHA-512" hashValue="QVIml9PmIcbf8WzUBfbn76DP+SMKZipbiQKIO3TPVcuGyg3Y+3CoGlDiX273aN7s1R2l+wcVEkzSgNDS95QGOQ==" saltValue="ZpLrHoHJGflqKJb9UY++Vw==" spinCount="100000" sheet="1" objects="1" scenarios="1" selectLockedCells="1" selectUnlockedCells="1"/>
  <mergeCells count="5">
    <mergeCell ref="B36:F36"/>
    <mergeCell ref="B14:F14"/>
    <mergeCell ref="B3:F3"/>
    <mergeCell ref="B1:I1"/>
    <mergeCell ref="B30:F30"/>
  </mergeCells>
  <pageMargins left="0.7" right="0.7" top="0.75" bottom="0.75" header="0.3" footer="0.3"/>
  <pageSetup scale="57" orientation="portrait" horizontalDpi="4294967293" r:id="rId1"/>
  <headerFooter>
    <oddHeader>&amp;C&amp;"+,Regular"&amp;24&amp;K04-049Vacation Budget Planner</oddHeader>
  </headerFooter>
  <ignoredErrors>
    <ignoredError sqref="C28:D28 E28 C12 C39:E39 C40:E41 C43:E44 D12 C42:E42 C5:E11 C16:C27 D16:D27 E16:E27" calculatedColumn="1"/>
  </ignoredErrors>
  <tableParts count="4">
    <tablePart r:id="rId2"/>
    <tablePart r:id="rId3"/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7D730-DD01-4990-8597-86609F0C09D5}">
  <sheetPr codeName="Sheet5">
    <tabColor rgb="FFE31837"/>
    <pageSetUpPr fitToPage="1"/>
  </sheetPr>
  <dimension ref="B1:L49"/>
  <sheetViews>
    <sheetView showGridLines="0" topLeftCell="A5" zoomScaleNormal="100" zoomScalePageLayoutView="55" workbookViewId="0">
      <selection activeCell="D39" sqref="D39"/>
    </sheetView>
  </sheetViews>
  <sheetFormatPr defaultColWidth="8.875" defaultRowHeight="22.15" customHeight="1" x14ac:dyDescent="0.2"/>
  <cols>
    <col min="1" max="1" width="1.875" style="4" customWidth="1"/>
    <col min="2" max="2" width="30.875" style="4" customWidth="1"/>
    <col min="3" max="3" width="40.5" style="5" customWidth="1"/>
    <col min="4" max="6" width="25.875" style="5" customWidth="1"/>
    <col min="7" max="7" width="11.25" style="4" customWidth="1"/>
    <col min="8" max="8" width="1.75" style="4" customWidth="1"/>
    <col min="9" max="9" width="8.875" style="30"/>
    <col min="10" max="10" width="17.125" style="3" customWidth="1"/>
    <col min="11" max="11" width="18.25" style="4" customWidth="1"/>
    <col min="12" max="12" width="13.375" style="4" customWidth="1"/>
    <col min="13" max="16384" width="8.875" style="4"/>
  </cols>
  <sheetData>
    <row r="1" spans="2:12" s="1" customFormat="1" ht="75" customHeight="1" x14ac:dyDescent="0.2">
      <c r="B1" s="89" t="s">
        <v>2</v>
      </c>
      <c r="C1" s="89"/>
      <c r="D1" s="89"/>
      <c r="E1" s="89"/>
      <c r="F1" s="89"/>
      <c r="G1" s="89"/>
      <c r="I1" s="35"/>
      <c r="J1" s="37"/>
    </row>
    <row r="2" spans="2:12" s="10" customFormat="1" ht="30" customHeight="1" x14ac:dyDescent="0.2">
      <c r="B2" s="9"/>
      <c r="C2" s="9"/>
      <c r="D2" s="9"/>
      <c r="E2" s="9"/>
      <c r="F2" s="9"/>
      <c r="I2" s="36"/>
      <c r="J2" s="38"/>
    </row>
    <row r="3" spans="2:12" s="2" customFormat="1" ht="30" customHeight="1" x14ac:dyDescent="0.2">
      <c r="B3" s="92" t="s">
        <v>3</v>
      </c>
      <c r="C3" s="92"/>
      <c r="D3" s="92"/>
      <c r="E3" s="92"/>
      <c r="F3" s="7"/>
      <c r="I3" s="30"/>
      <c r="J3" s="29" t="s">
        <v>61</v>
      </c>
      <c r="K3" s="39" t="s">
        <v>66</v>
      </c>
    </row>
    <row r="4" spans="2:12" s="3" customFormat="1" ht="30" customHeight="1" x14ac:dyDescent="0.2">
      <c r="B4" s="12" t="s">
        <v>4</v>
      </c>
      <c r="C4" s="11" t="s">
        <v>6</v>
      </c>
      <c r="D4" s="11" t="s">
        <v>7</v>
      </c>
      <c r="E4" s="11" t="s">
        <v>8</v>
      </c>
      <c r="F4" s="5"/>
      <c r="I4" s="30" t="s">
        <v>32</v>
      </c>
      <c r="J4" s="34">
        <v>4891.264516129032</v>
      </c>
      <c r="K4" s="34">
        <v>9692.7419354838712</v>
      </c>
    </row>
    <row r="5" spans="2:12" ht="30" customHeight="1" x14ac:dyDescent="0.2">
      <c r="B5" s="13" t="s">
        <v>9</v>
      </c>
      <c r="C5" s="16">
        <v>25298.31</v>
      </c>
      <c r="D5" s="16">
        <v>25298.31</v>
      </c>
      <c r="E5" s="16">
        <v>25298.31</v>
      </c>
      <c r="I5" s="30" t="s">
        <v>33</v>
      </c>
      <c r="J5" s="34">
        <v>18050.81920903955</v>
      </c>
      <c r="K5" s="34">
        <v>21070.338983050846</v>
      </c>
    </row>
    <row r="6" spans="2:12" ht="30" customHeight="1" x14ac:dyDescent="0.2">
      <c r="B6" s="13" t="s">
        <v>10</v>
      </c>
      <c r="C6" s="16">
        <v>1475.9</v>
      </c>
      <c r="D6" s="16">
        <v>1475.9</v>
      </c>
      <c r="E6" s="16">
        <v>1475.9</v>
      </c>
      <c r="I6" s="30" t="s">
        <v>34</v>
      </c>
      <c r="J6" s="34">
        <v>45771.912881355929</v>
      </c>
      <c r="K6" s="34">
        <v>34278.544745762709</v>
      </c>
    </row>
    <row r="7" spans="2:12" ht="30" customHeight="1" x14ac:dyDescent="0.25">
      <c r="B7" s="13" t="s">
        <v>11</v>
      </c>
      <c r="C7" s="14">
        <v>900</v>
      </c>
      <c r="D7" s="14">
        <v>900</v>
      </c>
      <c r="E7" s="14">
        <v>900</v>
      </c>
      <c r="F7"/>
      <c r="K7" s="103" t="s">
        <v>72</v>
      </c>
      <c r="L7" s="103"/>
    </row>
    <row r="8" spans="2:12" ht="30" customHeight="1" x14ac:dyDescent="0.2">
      <c r="B8" s="13" t="s">
        <v>12</v>
      </c>
      <c r="C8" s="14">
        <v>12720</v>
      </c>
      <c r="D8" s="14">
        <v>16750</v>
      </c>
      <c r="E8" s="14">
        <v>0</v>
      </c>
      <c r="I8" s="30" t="s">
        <v>32</v>
      </c>
      <c r="J8" s="29" t="s">
        <v>67</v>
      </c>
      <c r="K8" s="29" t="s">
        <v>68</v>
      </c>
      <c r="L8" s="29" t="s">
        <v>69</v>
      </c>
    </row>
    <row r="9" spans="2:12" ht="30" customHeight="1" x14ac:dyDescent="0.2">
      <c r="B9" s="13" t="s">
        <v>0</v>
      </c>
      <c r="C9" s="14">
        <v>1100</v>
      </c>
      <c r="D9" s="14">
        <v>1100</v>
      </c>
      <c r="E9" s="14">
        <v>1100</v>
      </c>
      <c r="J9" s="34">
        <v>1500</v>
      </c>
      <c r="K9" s="28">
        <v>0</v>
      </c>
      <c r="L9" s="28">
        <v>40000</v>
      </c>
    </row>
    <row r="10" spans="2:12" ht="30" customHeight="1" x14ac:dyDescent="0.2">
      <c r="B10" s="13" t="s">
        <v>1</v>
      </c>
      <c r="C10" s="14">
        <v>3800</v>
      </c>
      <c r="D10" s="14">
        <v>3800</v>
      </c>
      <c r="E10" s="14">
        <v>2250</v>
      </c>
      <c r="J10" s="34">
        <v>3000</v>
      </c>
      <c r="K10" s="28">
        <v>40000</v>
      </c>
      <c r="L10" s="28">
        <v>60000</v>
      </c>
    </row>
    <row r="11" spans="2:12" ht="30" customHeight="1" x14ac:dyDescent="0.2">
      <c r="B11" s="13" t="s">
        <v>13</v>
      </c>
      <c r="C11" s="14">
        <v>600</v>
      </c>
      <c r="D11" s="14">
        <v>600</v>
      </c>
      <c r="E11" s="14">
        <v>600</v>
      </c>
      <c r="J11" s="34">
        <v>5000</v>
      </c>
      <c r="K11" s="28">
        <v>60000</v>
      </c>
      <c r="L11" s="28">
        <v>80000</v>
      </c>
    </row>
    <row r="12" spans="2:12" ht="30" customHeight="1" x14ac:dyDescent="0.2">
      <c r="B12" s="13" t="s">
        <v>14</v>
      </c>
      <c r="C12" s="14">
        <v>360</v>
      </c>
      <c r="D12" s="14">
        <v>360</v>
      </c>
      <c r="E12" s="14">
        <v>0</v>
      </c>
      <c r="J12" s="34">
        <v>7500</v>
      </c>
      <c r="K12" s="28">
        <v>80000</v>
      </c>
      <c r="L12" s="28">
        <v>95000</v>
      </c>
    </row>
    <row r="13" spans="2:12" ht="30" customHeight="1" x14ac:dyDescent="0.2">
      <c r="B13" s="13" t="s">
        <v>15</v>
      </c>
      <c r="C13" s="14">
        <v>0</v>
      </c>
      <c r="D13" s="14">
        <v>480</v>
      </c>
      <c r="E13" s="14">
        <v>0</v>
      </c>
      <c r="J13" s="34">
        <v>11500</v>
      </c>
      <c r="K13" s="28">
        <v>95000</v>
      </c>
      <c r="L13" s="28"/>
    </row>
    <row r="14" spans="2:12" ht="30" customHeight="1" x14ac:dyDescent="0.2">
      <c r="B14" s="13" t="s">
        <v>16</v>
      </c>
      <c r="C14" s="16">
        <v>358.4</v>
      </c>
      <c r="D14" s="16">
        <v>358.4</v>
      </c>
      <c r="E14" s="16">
        <v>358.4</v>
      </c>
      <c r="I14" s="30" t="s">
        <v>33</v>
      </c>
      <c r="J14" s="41" t="s">
        <v>67</v>
      </c>
      <c r="K14" s="41" t="s">
        <v>68</v>
      </c>
      <c r="L14" s="41" t="s">
        <v>69</v>
      </c>
    </row>
    <row r="15" spans="2:12" ht="30" customHeight="1" x14ac:dyDescent="0.2">
      <c r="B15" s="13" t="s">
        <v>21</v>
      </c>
      <c r="C15" s="14">
        <v>0</v>
      </c>
      <c r="D15" s="14">
        <v>0</v>
      </c>
      <c r="E15" s="14">
        <v>0</v>
      </c>
      <c r="J15" s="34">
        <v>1500</v>
      </c>
      <c r="K15" s="28">
        <v>0</v>
      </c>
      <c r="L15" s="28">
        <v>55000</v>
      </c>
    </row>
    <row r="16" spans="2:12" ht="30" customHeight="1" thickBot="1" x14ac:dyDescent="0.25">
      <c r="B16" s="13" t="s">
        <v>17</v>
      </c>
      <c r="C16" s="14">
        <v>3000</v>
      </c>
      <c r="D16" s="14">
        <v>3000</v>
      </c>
      <c r="E16" s="14">
        <v>3000</v>
      </c>
      <c r="J16" s="34">
        <v>3000</v>
      </c>
      <c r="K16" s="28">
        <v>55000</v>
      </c>
      <c r="L16" s="28">
        <v>80000</v>
      </c>
    </row>
    <row r="17" spans="2:12" ht="30" customHeight="1" thickTop="1" x14ac:dyDescent="0.2">
      <c r="B17" s="15" t="s">
        <v>5</v>
      </c>
      <c r="C17" s="17">
        <f>SUM($C$5:$C$16)</f>
        <v>49612.610000000008</v>
      </c>
      <c r="D17" s="17">
        <f>SUM($D$5:$D$16)</f>
        <v>54122.610000000008</v>
      </c>
      <c r="E17" s="17">
        <f>SUM($E$5:$E$16)</f>
        <v>34982.61</v>
      </c>
      <c r="J17" s="34">
        <v>5000</v>
      </c>
      <c r="K17" s="28">
        <v>80000</v>
      </c>
      <c r="L17" s="28">
        <v>105000</v>
      </c>
    </row>
    <row r="18" spans="2:12" s="2" customFormat="1" ht="30" customHeight="1" x14ac:dyDescent="0.2">
      <c r="B18" s="6"/>
      <c r="C18" s="8"/>
      <c r="D18" s="8"/>
      <c r="E18" s="8"/>
      <c r="I18" s="30"/>
      <c r="J18" s="34">
        <v>7500</v>
      </c>
      <c r="K18" s="28">
        <v>105000</v>
      </c>
      <c r="L18" s="28">
        <v>130000</v>
      </c>
    </row>
    <row r="19" spans="2:12" s="3" customFormat="1" ht="30" customHeight="1" x14ac:dyDescent="0.2">
      <c r="B19" s="92" t="s">
        <v>18</v>
      </c>
      <c r="C19" s="92"/>
      <c r="D19" s="92"/>
      <c r="E19" s="92"/>
      <c r="I19" s="30"/>
      <c r="J19" s="34">
        <v>11500</v>
      </c>
      <c r="K19" s="28">
        <v>130000</v>
      </c>
      <c r="L19" s="28"/>
    </row>
    <row r="20" spans="2:12" ht="30" customHeight="1" x14ac:dyDescent="0.2">
      <c r="B20" s="12" t="s">
        <v>4</v>
      </c>
      <c r="C20" s="11" t="s">
        <v>6</v>
      </c>
      <c r="D20" s="11" t="s">
        <v>7</v>
      </c>
      <c r="E20" s="11" t="s">
        <v>8</v>
      </c>
      <c r="F20" s="4"/>
      <c r="I20" s="30" t="s">
        <v>34</v>
      </c>
      <c r="J20" s="41" t="s">
        <v>67</v>
      </c>
      <c r="K20" s="41" t="s">
        <v>68</v>
      </c>
      <c r="L20" s="41" t="s">
        <v>69</v>
      </c>
    </row>
    <row r="21" spans="2:12" ht="30" customHeight="1" x14ac:dyDescent="0.2">
      <c r="B21" s="13" t="s">
        <v>9</v>
      </c>
      <c r="C21" s="16">
        <v>27891.39</v>
      </c>
      <c r="D21" s="16">
        <v>27891.39</v>
      </c>
      <c r="E21" s="16" t="s">
        <v>19</v>
      </c>
      <c r="F21" s="4"/>
      <c r="J21" s="34">
        <v>1500</v>
      </c>
      <c r="K21" s="28">
        <v>0</v>
      </c>
      <c r="L21" s="28">
        <v>65000</v>
      </c>
    </row>
    <row r="22" spans="2:12" ht="30" customHeight="1" x14ac:dyDescent="0.2">
      <c r="B22" s="13" t="s">
        <v>10</v>
      </c>
      <c r="C22" s="16">
        <v>1475.9</v>
      </c>
      <c r="D22" s="16">
        <v>1475.9</v>
      </c>
      <c r="E22" s="16" t="s">
        <v>19</v>
      </c>
      <c r="F22" s="4"/>
      <c r="J22" s="34">
        <v>3000</v>
      </c>
      <c r="K22" s="28">
        <v>65000</v>
      </c>
      <c r="L22" s="28">
        <v>90000</v>
      </c>
    </row>
    <row r="23" spans="2:12" ht="30" customHeight="1" x14ac:dyDescent="0.2">
      <c r="B23" s="13" t="s">
        <v>11</v>
      </c>
      <c r="C23" s="14">
        <v>900</v>
      </c>
      <c r="D23" s="14">
        <v>900</v>
      </c>
      <c r="E23" s="16" t="s">
        <v>19</v>
      </c>
      <c r="F23" s="4"/>
      <c r="J23" s="34">
        <v>5000</v>
      </c>
      <c r="K23" s="28">
        <v>90000</v>
      </c>
      <c r="L23" s="28">
        <v>120000</v>
      </c>
    </row>
    <row r="24" spans="2:12" ht="30" customHeight="1" x14ac:dyDescent="0.2">
      <c r="B24" s="13" t="s">
        <v>12</v>
      </c>
      <c r="C24" s="14">
        <v>12720</v>
      </c>
      <c r="D24" s="14">
        <v>16750</v>
      </c>
      <c r="E24" s="16" t="s">
        <v>19</v>
      </c>
      <c r="F24" s="4"/>
      <c r="J24" s="34">
        <v>7500</v>
      </c>
      <c r="K24" s="28">
        <v>120000</v>
      </c>
      <c r="L24" s="28">
        <v>150000</v>
      </c>
    </row>
    <row r="25" spans="2:12" ht="30" customHeight="1" x14ac:dyDescent="0.2">
      <c r="B25" s="13" t="s">
        <v>0</v>
      </c>
      <c r="C25" s="14">
        <v>1100</v>
      </c>
      <c r="D25" s="14">
        <v>1100</v>
      </c>
      <c r="E25" s="16" t="s">
        <v>19</v>
      </c>
      <c r="F25" s="4"/>
      <c r="J25" s="34">
        <v>11500</v>
      </c>
      <c r="K25" s="28">
        <v>150000</v>
      </c>
      <c r="L25" s="28"/>
    </row>
    <row r="26" spans="2:12" ht="30" customHeight="1" x14ac:dyDescent="0.2">
      <c r="B26" s="13" t="s">
        <v>1</v>
      </c>
      <c r="C26" s="14">
        <v>3800</v>
      </c>
      <c r="D26" s="14">
        <v>3800</v>
      </c>
      <c r="E26" s="16" t="s">
        <v>19</v>
      </c>
      <c r="F26" s="4"/>
    </row>
    <row r="27" spans="2:12" ht="30" customHeight="1" x14ac:dyDescent="0.2">
      <c r="B27" s="13" t="s">
        <v>13</v>
      </c>
      <c r="C27" s="14">
        <v>600</v>
      </c>
      <c r="D27" s="14">
        <v>600</v>
      </c>
      <c r="E27" s="16" t="s">
        <v>19</v>
      </c>
    </row>
    <row r="28" spans="2:12" ht="30" customHeight="1" x14ac:dyDescent="0.2">
      <c r="B28" s="13" t="s">
        <v>14</v>
      </c>
      <c r="C28" s="14">
        <v>360</v>
      </c>
      <c r="D28" s="14">
        <v>360</v>
      </c>
      <c r="E28" s="16" t="s">
        <v>19</v>
      </c>
    </row>
    <row r="29" spans="2:12" ht="30" customHeight="1" x14ac:dyDescent="0.2">
      <c r="B29" s="13" t="s">
        <v>15</v>
      </c>
      <c r="C29" s="14">
        <v>0</v>
      </c>
      <c r="D29" s="14">
        <v>480</v>
      </c>
      <c r="E29" s="16" t="s">
        <v>19</v>
      </c>
    </row>
    <row r="30" spans="2:12" ht="30" customHeight="1" x14ac:dyDescent="0.2">
      <c r="B30" s="13" t="s">
        <v>16</v>
      </c>
      <c r="C30" s="16">
        <v>358.4</v>
      </c>
      <c r="D30" s="16">
        <v>358.4</v>
      </c>
      <c r="E30" s="16" t="s">
        <v>19</v>
      </c>
    </row>
    <row r="31" spans="2:12" ht="30" customHeight="1" x14ac:dyDescent="0.2">
      <c r="B31" s="13" t="s">
        <v>21</v>
      </c>
      <c r="C31" s="14">
        <v>0</v>
      </c>
      <c r="D31" s="14">
        <v>0</v>
      </c>
      <c r="E31" s="16" t="s">
        <v>19</v>
      </c>
    </row>
    <row r="32" spans="2:12" ht="30" customHeight="1" thickBot="1" x14ac:dyDescent="0.25">
      <c r="B32" s="13" t="s">
        <v>17</v>
      </c>
      <c r="C32" s="14">
        <v>3000</v>
      </c>
      <c r="D32" s="14">
        <v>3000</v>
      </c>
      <c r="E32" s="16" t="s">
        <v>19</v>
      </c>
    </row>
    <row r="33" spans="2:5" ht="30" customHeight="1" thickTop="1" x14ac:dyDescent="0.2">
      <c r="B33" s="15" t="s">
        <v>5</v>
      </c>
      <c r="C33" s="17">
        <f>SUM($C$21:$C$32)</f>
        <v>52205.69</v>
      </c>
      <c r="D33" s="17">
        <f>SUM($D$21:$D$32)</f>
        <v>56715.69</v>
      </c>
      <c r="E33" s="17">
        <f>SUM($E$21:$E$32)</f>
        <v>0</v>
      </c>
    </row>
    <row r="34" spans="2:5" ht="30" customHeight="1" x14ac:dyDescent="0.2"/>
    <row r="35" spans="2:5" ht="30" customHeight="1" x14ac:dyDescent="0.2">
      <c r="B35" s="92" t="s">
        <v>20</v>
      </c>
      <c r="C35" s="92"/>
      <c r="D35" s="92"/>
      <c r="E35" s="92"/>
    </row>
    <row r="36" spans="2:5" ht="30" customHeight="1" x14ac:dyDescent="0.2">
      <c r="B36" s="12" t="s">
        <v>4</v>
      </c>
      <c r="C36" s="11" t="s">
        <v>6</v>
      </c>
      <c r="D36" s="11" t="s">
        <v>7</v>
      </c>
      <c r="E36" s="11" t="s">
        <v>8</v>
      </c>
    </row>
    <row r="37" spans="2:5" ht="30" customHeight="1" x14ac:dyDescent="0.2">
      <c r="B37" s="13" t="s">
        <v>9</v>
      </c>
      <c r="C37" s="16">
        <v>48875.6</v>
      </c>
      <c r="D37" s="16">
        <v>48875.6</v>
      </c>
      <c r="E37" s="16" t="s">
        <v>19</v>
      </c>
    </row>
    <row r="38" spans="2:5" ht="30" customHeight="1" x14ac:dyDescent="0.2">
      <c r="B38" s="13" t="s">
        <v>10</v>
      </c>
      <c r="C38" s="16">
        <v>1475.9</v>
      </c>
      <c r="D38" s="16">
        <v>1475.9</v>
      </c>
      <c r="E38" s="16" t="s">
        <v>19</v>
      </c>
    </row>
    <row r="39" spans="2:5" ht="30" customHeight="1" x14ac:dyDescent="0.2">
      <c r="B39" s="13" t="s">
        <v>11</v>
      </c>
      <c r="C39" s="14">
        <v>900</v>
      </c>
      <c r="D39" s="14">
        <v>900</v>
      </c>
      <c r="E39" s="16" t="s">
        <v>19</v>
      </c>
    </row>
    <row r="40" spans="2:5" ht="30" customHeight="1" x14ac:dyDescent="0.2">
      <c r="B40" s="13" t="s">
        <v>12</v>
      </c>
      <c r="C40" s="14">
        <v>12720</v>
      </c>
      <c r="D40" s="14">
        <v>16750</v>
      </c>
      <c r="E40" s="16" t="s">
        <v>19</v>
      </c>
    </row>
    <row r="41" spans="2:5" ht="30" customHeight="1" x14ac:dyDescent="0.2">
      <c r="B41" s="13" t="s">
        <v>0</v>
      </c>
      <c r="C41" s="14">
        <v>1100</v>
      </c>
      <c r="D41" s="14">
        <v>1100</v>
      </c>
      <c r="E41" s="16" t="s">
        <v>19</v>
      </c>
    </row>
    <row r="42" spans="2:5" ht="30" customHeight="1" x14ac:dyDescent="0.2">
      <c r="B42" s="13" t="s">
        <v>1</v>
      </c>
      <c r="C42" s="14">
        <v>3800</v>
      </c>
      <c r="D42" s="14">
        <v>3800</v>
      </c>
      <c r="E42" s="16" t="s">
        <v>19</v>
      </c>
    </row>
    <row r="43" spans="2:5" ht="30" customHeight="1" x14ac:dyDescent="0.2">
      <c r="B43" s="13" t="s">
        <v>13</v>
      </c>
      <c r="C43" s="14">
        <v>600</v>
      </c>
      <c r="D43" s="14">
        <v>600</v>
      </c>
      <c r="E43" s="16" t="s">
        <v>19</v>
      </c>
    </row>
    <row r="44" spans="2:5" ht="30" customHeight="1" x14ac:dyDescent="0.2">
      <c r="B44" s="13" t="s">
        <v>14</v>
      </c>
      <c r="C44" s="14">
        <v>360</v>
      </c>
      <c r="D44" s="14">
        <v>360</v>
      </c>
      <c r="E44" s="16" t="s">
        <v>19</v>
      </c>
    </row>
    <row r="45" spans="2:5" ht="30" customHeight="1" x14ac:dyDescent="0.2">
      <c r="B45" s="13" t="s">
        <v>15</v>
      </c>
      <c r="C45" s="14">
        <v>0</v>
      </c>
      <c r="D45" s="14">
        <v>480</v>
      </c>
      <c r="E45" s="16" t="s">
        <v>19</v>
      </c>
    </row>
    <row r="46" spans="2:5" ht="30" customHeight="1" x14ac:dyDescent="0.2">
      <c r="B46" s="13" t="s">
        <v>16</v>
      </c>
      <c r="C46" s="16">
        <v>358.4</v>
      </c>
      <c r="D46" s="16">
        <v>358.4</v>
      </c>
      <c r="E46" s="16" t="s">
        <v>19</v>
      </c>
    </row>
    <row r="47" spans="2:5" ht="30" customHeight="1" x14ac:dyDescent="0.2">
      <c r="B47" s="13" t="s">
        <v>21</v>
      </c>
      <c r="C47" s="16">
        <v>792</v>
      </c>
      <c r="D47" s="16">
        <v>792</v>
      </c>
      <c r="E47" s="14" t="s">
        <v>19</v>
      </c>
    </row>
    <row r="48" spans="2:5" ht="30" customHeight="1" thickBot="1" x14ac:dyDescent="0.25">
      <c r="B48" s="13" t="s">
        <v>17</v>
      </c>
      <c r="C48" s="14">
        <v>3000</v>
      </c>
      <c r="D48" s="14">
        <v>3000</v>
      </c>
      <c r="E48" s="16" t="s">
        <v>19</v>
      </c>
    </row>
    <row r="49" spans="2:5" ht="30" customHeight="1" thickTop="1" x14ac:dyDescent="0.2">
      <c r="B49" s="15" t="s">
        <v>5</v>
      </c>
      <c r="C49" s="17">
        <f>SUM($C$37:$C$48)</f>
        <v>73981.899999999994</v>
      </c>
      <c r="D49" s="17">
        <f>SUM($D$37:$D$48)</f>
        <v>78491.899999999994</v>
      </c>
      <c r="E49" s="17">
        <f>SUM($E$37:$E$48)</f>
        <v>0</v>
      </c>
    </row>
  </sheetData>
  <sheetProtection algorithmName="SHA-512" hashValue="65PsDZ5EinKC6wU6FpuXzB7460DkV+/0OfNTRNjXJNLdVyikOV3DElv/se709tZq2qjK+JC5MSqopUcgLgxFSQ==" saltValue="5kl8NyD3Sk0L2H6absGUkw==" spinCount="100000" sheet="1" objects="1" scenarios="1" selectLockedCells="1" selectUnlockedCells="1"/>
  <mergeCells count="5">
    <mergeCell ref="B1:G1"/>
    <mergeCell ref="B3:E3"/>
    <mergeCell ref="B19:E19"/>
    <mergeCell ref="B35:E35"/>
    <mergeCell ref="K7:L7"/>
  </mergeCells>
  <pageMargins left="0.7" right="0.7" top="0.75" bottom="0.75" header="0.3" footer="0.3"/>
  <pageSetup scale="57" orientation="portrait" horizontalDpi="4294967293" r:id="rId1"/>
  <headerFooter>
    <oddHeader>&amp;C&amp;"+,Regular"&amp;24&amp;K04-049Vacation Budget Planner</oddHeader>
  </headerFooter>
  <drawing r:id="rId2"/>
  <tableParts count="3">
    <tablePart r:id="rId3"/>
    <tablePart r:id="rId4"/>
    <tablePart r:id="rId5"/>
  </tableParts>
</worksheet>
</file>

<file path=docMetadata/LabelInfo.xml><?xml version="1.0" encoding="utf-8"?>
<clbl:labelList xmlns:clbl="http://schemas.microsoft.com/office/2020/mipLabelMetadata"/>
</file>

<file path=docProps/app.xml><?xml version="1.0" encoding="utf-8"?>
<Properties xmlns="http://schemas.openxmlformats.org/officeDocument/2006/extended-properties" xmlns:vt="http://schemas.openxmlformats.org/officeDocument/2006/docPropsVTypes">
  <Template>TM16410088</Templat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Welcome Page</vt:lpstr>
      <vt:lpstr>Background</vt:lpstr>
      <vt:lpstr>Income &amp; Resources</vt:lpstr>
      <vt:lpstr>Expenses &amp; Debt</vt:lpstr>
      <vt:lpstr>Budget Summary</vt:lpstr>
      <vt:lpstr>Helpful Links</vt:lpstr>
      <vt:lpstr>Projected Budget</vt:lpstr>
      <vt:lpstr>Budgeting Tables</vt:lpstr>
      <vt:lpstr>Background!Print_Area</vt:lpstr>
      <vt:lpstr>'Budget Summary'!Print_Area</vt:lpstr>
      <vt:lpstr>'Budgeting Tables'!Print_Area</vt:lpstr>
      <vt:lpstr>'Expenses &amp; Debt'!Print_Area</vt:lpstr>
      <vt:lpstr>'Helpful Links'!Print_Area</vt:lpstr>
      <vt:lpstr>'Income &amp; Resources'!Print_Area</vt:lpstr>
      <vt:lpstr>'Projected Budget'!Print_Area</vt:lpstr>
      <vt:lpstr>'Welcome Page'!Print_Area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2022-12-20T22:56:14Z</dcterms:created>
  <dcterms:modified xsi:type="dcterms:W3CDTF">2026-03-16T13:37:45Z</dcterms:modified>
</cp:coreProperties>
</file>